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ug\Documents\ChatGPT\TG Inventory\_data\"/>
    </mc:Choice>
  </mc:AlternateContent>
  <xr:revisionPtr revIDLastSave="0" documentId="13_ncr:1_{935D2EB1-241C-4ABE-907C-BE8355D874CA}" xr6:coauthVersionLast="47" xr6:coauthVersionMax="47" xr10:uidLastSave="{00000000-0000-0000-0000-000000000000}"/>
  <bookViews>
    <workbookView xWindow="1605" yWindow="0" windowWidth="32460" windowHeight="20880" xr2:uid="{F7C7F24C-1531-492E-B7CF-F5A60E203BD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4" l="1"/>
  <c r="B15" i="4"/>
  <c r="B14" i="4"/>
  <c r="B13" i="4"/>
  <c r="B12" i="4"/>
  <c r="B11" i="4"/>
  <c r="B9" i="4"/>
  <c r="B8" i="4"/>
  <c r="B4" i="4"/>
  <c r="B5" i="4"/>
  <c r="B6" i="4"/>
  <c r="B3" i="4"/>
  <c r="C3" i="2"/>
  <c r="C5" i="2"/>
  <c r="C6" i="2"/>
  <c r="C7" i="2"/>
  <c r="C27" i="2"/>
  <c r="C2" i="2"/>
  <c r="C20" i="2"/>
  <c r="C4" i="2"/>
  <c r="C19" i="2"/>
  <c r="C18" i="2"/>
  <c r="C15" i="2"/>
  <c r="C17" i="2"/>
  <c r="C16" i="2"/>
  <c r="C26" i="2"/>
  <c r="C9" i="2"/>
  <c r="C10" i="2"/>
  <c r="C11" i="2"/>
  <c r="C14" i="2"/>
  <c r="C8" i="2"/>
  <c r="C23" i="2"/>
  <c r="C24" i="2"/>
  <c r="C21" i="2"/>
  <c r="C25" i="2"/>
  <c r="C22" i="2"/>
  <c r="C12" i="2"/>
  <c r="C13" i="2"/>
</calcChain>
</file>

<file path=xl/sharedStrings.xml><?xml version="1.0" encoding="utf-8"?>
<sst xmlns="http://schemas.openxmlformats.org/spreadsheetml/2006/main" count="609" uniqueCount="362">
  <si>
    <t>BUTTONS</t>
  </si>
  <si>
    <t>Ally</t>
  </si>
  <si>
    <t>Gaymer</t>
  </si>
  <si>
    <t>Support Trans Youth</t>
  </si>
  <si>
    <t>I'll Go With You</t>
  </si>
  <si>
    <t>ENAMEL PINS</t>
  </si>
  <si>
    <t>TG Kitten — Origins 2022</t>
  </si>
  <si>
    <t>TG Puppers — Gen Con 2022</t>
  </si>
  <si>
    <t>TG Significant Otters — Origins 2023</t>
  </si>
  <si>
    <t>TG Displacer Kitty — Gen Con 2023</t>
  </si>
  <si>
    <t>TG Pride Dragon — Contest Winner 2023</t>
  </si>
  <si>
    <t>TG Penguin Pals — PAX Unplugged 2023</t>
  </si>
  <si>
    <t>TG Axolotl — PAX East 2024</t>
  </si>
  <si>
    <t>TG Ranger Raccoon — Origins 2024</t>
  </si>
  <si>
    <t>TG Red Panda Paladin — Gen Con 2024</t>
  </si>
  <si>
    <t>TG Owlbear Villian — Gen Con 2024 (Gaymer Quest)</t>
  </si>
  <si>
    <t>TG Rabbit — PAX Unplugged 2024</t>
  </si>
  <si>
    <t>TG Skeleton — PAX Unplugged 2024 (Gaymer Quest)</t>
  </si>
  <si>
    <t>TG Walrus— PAX East 2025</t>
  </si>
  <si>
    <t>QC Necromancer — Origins 2025</t>
  </si>
  <si>
    <t>QC Alchemist — Gen Con 2025</t>
  </si>
  <si>
    <t>QC Oracle — Gen Con 2025 (Gaymer Quest)</t>
  </si>
  <si>
    <t>QC Wizard — PAX West 2025</t>
  </si>
  <si>
    <t>QC Hedge Witch — PAX Unplugged 2025</t>
  </si>
  <si>
    <t>QC Herbalist — PAX Unplugged 2025 (Gaymer Quest)</t>
  </si>
  <si>
    <t>QC Dreamwalker — PAX East 2026</t>
  </si>
  <si>
    <t>Special: Tabletop Gaymers (original)</t>
  </si>
  <si>
    <t>Special: Tabletop Gaymers (10-Year Anniversary)</t>
  </si>
  <si>
    <t>Special: Paizo Golem</t>
  </si>
  <si>
    <t>WRISTBANDS</t>
  </si>
  <si>
    <t>Proud 2B Me (youth size)</t>
  </si>
  <si>
    <t>Proud 2B Me (adults size)</t>
  </si>
  <si>
    <t>BADGE HOLDER</t>
  </si>
  <si>
    <t>Badge Holder</t>
  </si>
  <si>
    <t>QUEER COVEN</t>
  </si>
  <si>
    <t>Queer Coven RPG</t>
  </si>
  <si>
    <t>CALENDAR</t>
  </si>
  <si>
    <t>2026 Seasons of Pride</t>
  </si>
  <si>
    <t>RIBBONS: EMPTY TRAYS</t>
  </si>
  <si>
    <t>Empty Base</t>
  </si>
  <si>
    <t>Empty Lid</t>
  </si>
  <si>
    <t>"Register Your Ribbon" card for vendor trays</t>
  </si>
  <si>
    <t>RIBBONS: SPECIAL</t>
  </si>
  <si>
    <t>Sponsor</t>
  </si>
  <si>
    <t>Champion (Sustaining Donor)</t>
  </si>
  <si>
    <t>Hero (Volunteer Program)</t>
  </si>
  <si>
    <t>Director</t>
  </si>
  <si>
    <t>Officer</t>
  </si>
  <si>
    <t>Volunteer</t>
  </si>
  <si>
    <t>RIBBONS: GAYMER/ALLY</t>
  </si>
  <si>
    <t>RIBBONS: PRONOUNS</t>
  </si>
  <si>
    <t>_blank_write_in_</t>
  </si>
  <si>
    <t>He/Him</t>
  </si>
  <si>
    <t>She/Her</t>
  </si>
  <si>
    <t>They/Them</t>
  </si>
  <si>
    <t>He/They</t>
  </si>
  <si>
    <t>She/They</t>
  </si>
  <si>
    <t>Any/All</t>
  </si>
  <si>
    <t>PRIDE FLAG BADGE RIBBONS</t>
  </si>
  <si>
    <t>Agender</t>
  </si>
  <si>
    <t>Aromantic</t>
  </si>
  <si>
    <t>Asexual</t>
  </si>
  <si>
    <t>Bigender</t>
  </si>
  <si>
    <t>Bisexual</t>
  </si>
  <si>
    <t>Demiboy</t>
  </si>
  <si>
    <t>Demigender</t>
  </si>
  <si>
    <t>Demigirl</t>
  </si>
  <si>
    <t>Demiromantic</t>
  </si>
  <si>
    <t>Demisexual</t>
  </si>
  <si>
    <t>Gay Man</t>
  </si>
  <si>
    <t>Genderfluid</t>
  </si>
  <si>
    <t>Genderqueer</t>
  </si>
  <si>
    <t>Gray-Asexual</t>
  </si>
  <si>
    <t>Intersex</t>
  </si>
  <si>
    <t>Intersex Inc Progress</t>
  </si>
  <si>
    <t>Lesbian</t>
  </si>
  <si>
    <t>Maverique</t>
  </si>
  <si>
    <t>More Color More Pride</t>
  </si>
  <si>
    <t>Nonbinary</t>
  </si>
  <si>
    <t>Pansexual</t>
  </si>
  <si>
    <t>Polyamorous</t>
  </si>
  <si>
    <t>Polysexual</t>
  </si>
  <si>
    <t>Transgender</t>
  </si>
  <si>
    <t>Foam Board Display</t>
  </si>
  <si>
    <t>Acrylic Box, Jeff Made</t>
  </si>
  <si>
    <t>Pride Ribbon Display Box Locking Lid</t>
  </si>
  <si>
    <t>SPONSOR TOKENS</t>
  </si>
  <si>
    <t>Extra Token $ 25</t>
  </si>
  <si>
    <t>Extra Token $ 50</t>
  </si>
  <si>
    <t>Extra Token $ 100</t>
  </si>
  <si>
    <t>Extra Token $ 250</t>
  </si>
  <si>
    <t>Extra Token $ 500</t>
  </si>
  <si>
    <t>Extra Token $1000</t>
  </si>
  <si>
    <t>Sponsor Tokens: Thank You Cards</t>
  </si>
  <si>
    <t>INFO SHEETS</t>
  </si>
  <si>
    <t>Design</t>
  </si>
  <si>
    <t>Gaming Safe Space</t>
  </si>
  <si>
    <t>Gayme Night</t>
  </si>
  <si>
    <t>Hero Volunteer</t>
  </si>
  <si>
    <t>Pride Flag Badge Ribbon</t>
  </si>
  <si>
    <t>Proud to Gayme</t>
  </si>
  <si>
    <t>Register</t>
  </si>
  <si>
    <t>Sustaining Donor</t>
  </si>
  <si>
    <t>Info Sheet Acrylic Rack</t>
  </si>
  <si>
    <t>VENDOR MATERIAL</t>
  </si>
  <si>
    <t>Corporate Partner Handout (8.5 x 11)</t>
  </si>
  <si>
    <t>In-Kind Receipt Pad (for vendor)</t>
  </si>
  <si>
    <t>In-Kind Record Pad (return to TG Corp Partners team)</t>
  </si>
  <si>
    <t>GAMING SAFE SPACE</t>
  </si>
  <si>
    <t>Retail Kit</t>
  </si>
  <si>
    <t>Button</t>
  </si>
  <si>
    <t>Enamel Pin</t>
  </si>
  <si>
    <t>Brochure</t>
  </si>
  <si>
    <t>Poster</t>
  </si>
  <si>
    <t>DONATION</t>
  </si>
  <si>
    <t>Square Terminal w/ Cover &amp; Case</t>
  </si>
  <si>
    <t>Donation Box, Cardboard, Blank</t>
  </si>
  <si>
    <t>Donation Box, Cardboard, Decorated</t>
  </si>
  <si>
    <t>PACKING MATERIALS</t>
  </si>
  <si>
    <t>Shipping Scale</t>
  </si>
  <si>
    <t>Packing Tape, Clear (for boxes)</t>
  </si>
  <si>
    <t>Masking Tape, Blue (for bags)</t>
  </si>
  <si>
    <t>Box Cutter</t>
  </si>
  <si>
    <t>Ziplock Bags, Medium</t>
  </si>
  <si>
    <t>Ziplock Bags, XLarge</t>
  </si>
  <si>
    <t>SIGNAGE</t>
  </si>
  <si>
    <t>TG Tablecloth (2023)</t>
  </si>
  <si>
    <t>TG Standing Retractable Banner, 33"W x 81"T (2023)</t>
  </si>
  <si>
    <t>TG Acrylic Display / Grab Guard with Legs (2023)</t>
  </si>
  <si>
    <t>TG Hanging Vinyl Banner 8'W x 4'T (2019)</t>
  </si>
  <si>
    <t>Generic Metal Tripod/Easel 14"T</t>
  </si>
  <si>
    <t>CASH HANDLING</t>
  </si>
  <si>
    <t>Cash Zipper Bags</t>
  </si>
  <si>
    <t>Poly Deposit Bags</t>
  </si>
  <si>
    <t>Paper Bill Straps</t>
  </si>
  <si>
    <t>MISCELLANEOUS</t>
  </si>
  <si>
    <t>Blank Business Cards</t>
  </si>
  <si>
    <t>Info Rack Card (3.5 x 8.5)</t>
  </si>
  <si>
    <t>Folding Cart</t>
  </si>
  <si>
    <t>Plastic Shelves</t>
  </si>
  <si>
    <t>Rolling Cart with Shelves</t>
  </si>
  <si>
    <t>Acrylic Sign Holder 8.5 by 11</t>
  </si>
  <si>
    <t>REROLL</t>
  </si>
  <si>
    <t>Reroll Tickets</t>
  </si>
  <si>
    <t>Table Tents f/ GMs</t>
  </si>
  <si>
    <t>Magic Markers f/ GMs</t>
  </si>
  <si>
    <t>Cash Box with Combination 501 Lock</t>
  </si>
  <si>
    <t>Tabletop Retractable Banner</t>
  </si>
  <si>
    <t>Buttons</t>
  </si>
  <si>
    <t>Enamel Pins</t>
  </si>
  <si>
    <t>Wristbands</t>
  </si>
  <si>
    <t>RPG</t>
  </si>
  <si>
    <t>Calendar</t>
  </si>
  <si>
    <t>Ribbons</t>
  </si>
  <si>
    <t>Handouts</t>
  </si>
  <si>
    <t>Partners</t>
  </si>
  <si>
    <t>Category</t>
  </si>
  <si>
    <t>Collection</t>
  </si>
  <si>
    <t>Animals</t>
  </si>
  <si>
    <t>Queer Coven</t>
  </si>
  <si>
    <t>Special</t>
  </si>
  <si>
    <t>Seasons of Pride</t>
  </si>
  <si>
    <t>Trays - Cards</t>
  </si>
  <si>
    <t>G/A</t>
  </si>
  <si>
    <t>Pronouns</t>
  </si>
  <si>
    <t>Pride Flag</t>
  </si>
  <si>
    <t>Tokens</t>
  </si>
  <si>
    <t>Info Sheets</t>
  </si>
  <si>
    <t>In-Kind Records</t>
  </si>
  <si>
    <t>Program</t>
  </si>
  <si>
    <t>Equipment</t>
  </si>
  <si>
    <t>Donations</t>
  </si>
  <si>
    <t>Shipping</t>
  </si>
  <si>
    <t>Material</t>
  </si>
  <si>
    <t>Boxes</t>
  </si>
  <si>
    <t>Signage</t>
  </si>
  <si>
    <t>Cash Handling</t>
  </si>
  <si>
    <t>Reroll</t>
  </si>
  <si>
    <t>Gayme Night Games</t>
  </si>
  <si>
    <t>Listing</t>
  </si>
  <si>
    <t>BU_AAAA</t>
  </si>
  <si>
    <t>BU_ALLY</t>
  </si>
  <si>
    <t>BU_GYMR</t>
  </si>
  <si>
    <t>BU_STY</t>
  </si>
  <si>
    <t>BU_IGWY</t>
  </si>
  <si>
    <t>BU_AL19</t>
  </si>
  <si>
    <t>BU_GY19</t>
  </si>
  <si>
    <t>EP_AAAA</t>
  </si>
  <si>
    <t>EP_KITT</t>
  </si>
  <si>
    <t>EP_PUPP</t>
  </si>
  <si>
    <t>EP_SIGO</t>
  </si>
  <si>
    <t>EP_DISP</t>
  </si>
  <si>
    <t>EP_DRAG</t>
  </si>
  <si>
    <t>EP_PENG</t>
  </si>
  <si>
    <t>EP_AXOL</t>
  </si>
  <si>
    <t>EP_RACC</t>
  </si>
  <si>
    <t>EP_PNDA</t>
  </si>
  <si>
    <t>EP_OWLB</t>
  </si>
  <si>
    <t>EP_RABB</t>
  </si>
  <si>
    <t>EP_SKEL</t>
  </si>
  <si>
    <t>EP_WALR</t>
  </si>
  <si>
    <t>EP_NECRO</t>
  </si>
  <si>
    <t>EP_ALCH</t>
  </si>
  <si>
    <t>EP_ORAC</t>
  </si>
  <si>
    <t>EP_WIZ</t>
  </si>
  <si>
    <t>EP_HERB</t>
  </si>
  <si>
    <t>EP_HEDGE</t>
  </si>
  <si>
    <t>EP_DREAM</t>
  </si>
  <si>
    <t>EP_TG</t>
  </si>
  <si>
    <t>EP_10YR</t>
  </si>
  <si>
    <t>EP_PAIZ</t>
  </si>
  <si>
    <t>WB_AAAA</t>
  </si>
  <si>
    <t>WB_ALLY</t>
  </si>
  <si>
    <t>WB_GYMR</t>
  </si>
  <si>
    <t>WB_P2BY</t>
  </si>
  <si>
    <t>WB_P2BA</t>
  </si>
  <si>
    <t>BH_AAAA</t>
  </si>
  <si>
    <t>BH_HLDR</t>
  </si>
  <si>
    <t>QC_AAAA</t>
  </si>
  <si>
    <t>QC_RPG</t>
  </si>
  <si>
    <t>CA_AAAA</t>
  </si>
  <si>
    <t>CA_2026</t>
  </si>
  <si>
    <t>ET_AAAA</t>
  </si>
  <si>
    <t>ET_BASE</t>
  </si>
  <si>
    <t>ET_LID</t>
  </si>
  <si>
    <t>RC_VNDR</t>
  </si>
  <si>
    <t>RA_AAAA</t>
  </si>
  <si>
    <t>RS_SPON</t>
  </si>
  <si>
    <t>RA_CHMP</t>
  </si>
  <si>
    <t>RA_HERO</t>
  </si>
  <si>
    <t>RA_DIR</t>
  </si>
  <si>
    <t>RA_OFF</t>
  </si>
  <si>
    <t>RA_VOL</t>
  </si>
  <si>
    <t>RC_AAAA</t>
  </si>
  <si>
    <t>RC_ALLY</t>
  </si>
  <si>
    <t>RC_GYMR</t>
  </si>
  <si>
    <t>RP_AAAA</t>
  </si>
  <si>
    <t>RP_BLNK</t>
  </si>
  <si>
    <t>RP_HE</t>
  </si>
  <si>
    <t>RP_SHE</t>
  </si>
  <si>
    <t>RP_THEY</t>
  </si>
  <si>
    <t>RP_HTHY</t>
  </si>
  <si>
    <t>RP_STHY</t>
  </si>
  <si>
    <t>RP_ANYA</t>
  </si>
  <si>
    <t>RF_AAAA</t>
  </si>
  <si>
    <t>RF_AGEN</t>
  </si>
  <si>
    <t>RF_ALLY</t>
  </si>
  <si>
    <t>RF_ARO</t>
  </si>
  <si>
    <t>RF_ACE</t>
  </si>
  <si>
    <t>RF_BIGE</t>
  </si>
  <si>
    <t>RF_BI</t>
  </si>
  <si>
    <t>RF_DBOY</t>
  </si>
  <si>
    <t>RF_DGEN</t>
  </si>
  <si>
    <t>RF_DGRL</t>
  </si>
  <si>
    <t>RF_DRO</t>
  </si>
  <si>
    <t>RF_DSEX</t>
  </si>
  <si>
    <t>RF_GAY</t>
  </si>
  <si>
    <t>RF_GFLU</t>
  </si>
  <si>
    <t>RF_GQUE</t>
  </si>
  <si>
    <t>RF_GACE</t>
  </si>
  <si>
    <t>RF_ISEX</t>
  </si>
  <si>
    <t>RF_IINC</t>
  </si>
  <si>
    <t>RF_LESB</t>
  </si>
  <si>
    <t>RF_MAV</t>
  </si>
  <si>
    <t>RF_MCOL</t>
  </si>
  <si>
    <t>RF_NB</t>
  </si>
  <si>
    <t>RF_PAN</t>
  </si>
  <si>
    <t>RF_PAM</t>
  </si>
  <si>
    <t>RF_PSEX</t>
  </si>
  <si>
    <t>RF_TGEN</t>
  </si>
  <si>
    <t>RF_DISP</t>
  </si>
  <si>
    <t>RF_BOX1</t>
  </si>
  <si>
    <t>RF_BOX2</t>
  </si>
  <si>
    <t>ST_AAAA</t>
  </si>
  <si>
    <t>ST_X025</t>
  </si>
  <si>
    <t>ST_X050</t>
  </si>
  <si>
    <t>ST_X100</t>
  </si>
  <si>
    <t>ST_X250</t>
  </si>
  <si>
    <t>ST_X500</t>
  </si>
  <si>
    <t>ST_X1K</t>
  </si>
  <si>
    <t>ST_CARD</t>
  </si>
  <si>
    <t>IS_AAAA</t>
  </si>
  <si>
    <t>IS_ALLY</t>
  </si>
  <si>
    <t>IS_DESN</t>
  </si>
  <si>
    <t>IS_GSS</t>
  </si>
  <si>
    <t>IS_GN</t>
  </si>
  <si>
    <t>IS_HERO</t>
  </si>
  <si>
    <t>IS_PFBR</t>
  </si>
  <si>
    <t>IS_P2G</t>
  </si>
  <si>
    <t>IS_REG</t>
  </si>
  <si>
    <t>IS_SUSD</t>
  </si>
  <si>
    <t>IS_VOL</t>
  </si>
  <si>
    <t>IS_CASE</t>
  </si>
  <si>
    <t>VD_AAAA</t>
  </si>
  <si>
    <t>VD_INFO</t>
  </si>
  <si>
    <t>VD_RCPT</t>
  </si>
  <si>
    <t>VD_RECD</t>
  </si>
  <si>
    <t>SS_AAAA</t>
  </si>
  <si>
    <t>SS_RKIT</t>
  </si>
  <si>
    <t>SS_BUTT</t>
  </si>
  <si>
    <t>SS_ENAM</t>
  </si>
  <si>
    <t>SS_INFO</t>
  </si>
  <si>
    <t>SS_POST</t>
  </si>
  <si>
    <t>DN_AAAA</t>
  </si>
  <si>
    <t>DN_SQTR</t>
  </si>
  <si>
    <t>DN_BOXB</t>
  </si>
  <si>
    <t>DN_BOXD</t>
  </si>
  <si>
    <t>PK_AAAA</t>
  </si>
  <si>
    <t>PK_SCAL</t>
  </si>
  <si>
    <t>PK_TAPE</t>
  </si>
  <si>
    <t>PK_BLUE</t>
  </si>
  <si>
    <t>PK_CUTR</t>
  </si>
  <si>
    <t>PK_ZBM</t>
  </si>
  <si>
    <t>PK_ZBXL</t>
  </si>
  <si>
    <t>SN_AAAA</t>
  </si>
  <si>
    <t>SN_TBCL</t>
  </si>
  <si>
    <t>SN_SRB</t>
  </si>
  <si>
    <t>SN_ADGG</t>
  </si>
  <si>
    <t>SN_HVB</t>
  </si>
  <si>
    <t>SN_TP14</t>
  </si>
  <si>
    <t>CH_AAAA</t>
  </si>
  <si>
    <t>CH_ZIPP</t>
  </si>
  <si>
    <t>CH_POLY</t>
  </si>
  <si>
    <t>CH_BILL</t>
  </si>
  <si>
    <t>MC_AAAA</t>
  </si>
  <si>
    <t>MC_BBC</t>
  </si>
  <si>
    <t>MC_IRC</t>
  </si>
  <si>
    <t>MC_CART</t>
  </si>
  <si>
    <t>MC_SHLF</t>
  </si>
  <si>
    <t>MC_CART2</t>
  </si>
  <si>
    <t>MC_8X11</t>
  </si>
  <si>
    <t>RR_AAAA</t>
  </si>
  <si>
    <t>RR_TKT</t>
  </si>
  <si>
    <t>RR_TENT</t>
  </si>
  <si>
    <t>RR_MARK</t>
  </si>
  <si>
    <t>RR_CBOX</t>
  </si>
  <si>
    <t>RR_TBAN</t>
  </si>
  <si>
    <t/>
  </si>
  <si>
    <t>Name</t>
  </si>
  <si>
    <t>Total</t>
  </si>
  <si>
    <t>Indy</t>
  </si>
  <si>
    <t>Philly</t>
  </si>
  <si>
    <t>Gen Con</t>
  </si>
  <si>
    <t>Ally Button</t>
  </si>
  <si>
    <t>Gaymer Button</t>
  </si>
  <si>
    <t>Support Trans Youth Button</t>
  </si>
  <si>
    <t>Ally Ribbon</t>
  </si>
  <si>
    <t>Gaymer Ribbon</t>
  </si>
  <si>
    <t>GA Ribbons</t>
  </si>
  <si>
    <t>He-Him</t>
  </si>
  <si>
    <t>She-Her</t>
  </si>
  <si>
    <t>They-Them</t>
  </si>
  <si>
    <t>Any-All</t>
  </si>
  <si>
    <t>He-They</t>
  </si>
  <si>
    <t>She-They</t>
  </si>
  <si>
    <t>I'll Go With You Button</t>
  </si>
  <si>
    <t>Pronoun Ribbons</t>
  </si>
  <si>
    <t>Shopify</t>
  </si>
  <si>
    <t>Central</t>
  </si>
  <si>
    <t>In-Transit</t>
  </si>
  <si>
    <t>—</t>
  </si>
  <si>
    <t>Cash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</si>
</sst>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\-000"/>
    <numFmt numFmtId="165" formatCode="_M* #,##0_);[Red]_M* \(#,##0\);_M* &quot;&quot;_);_M* @_)"/>
    <numFmt numFmtId="166" formatCode="_(* #,##0_);_(* \(#,##0\);_(* &quot;-&quot;??_);_(@_)"/>
  </numFmts>
  <fonts count="7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"/>
      <family val="2"/>
    </font>
    <font>
      <sz val="10"/>
      <color rgb="FF000000"/>
      <name val="Aptos"/>
      <family val="2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4" fillId="2" borderId="1" xfId="2" applyFont="1" applyFill="1" applyBorder="1" applyAlignment="1">
      <alignment vertical="center"/>
    </xf>
    <xf numFmtId="0" fontId="4" fillId="0" borderId="1" xfId="2" applyFont="1" applyBorder="1" applyAlignment="1">
      <alignment horizontal="left" vertical="center" indent="1"/>
    </xf>
    <xf numFmtId="0" fontId="4" fillId="2" borderId="1" xfId="2" applyFont="1" applyFill="1" applyBorder="1" applyAlignment="1">
      <alignment horizontal="left" vertical="center" indent="1"/>
    </xf>
    <xf numFmtId="0" fontId="5" fillId="2" borderId="1" xfId="2" applyFont="1" applyFill="1" applyBorder="1" applyAlignment="1">
      <alignment horizontal="left" vertical="center" indent="1"/>
    </xf>
    <xf numFmtId="0" fontId="4" fillId="0" borderId="1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5" fillId="0" borderId="1" xfId="2" applyFont="1" applyBorder="1" applyAlignment="1">
      <alignment horizontal="left" vertical="center" indent="1"/>
    </xf>
    <xf numFmtId="0" fontId="4" fillId="0" borderId="2" xfId="2" applyFont="1" applyBorder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43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166" fontId="0" fillId="0" borderId="0" xfId="1" applyNumberFormat="1" applyFont="1"/>
    <xf numFmtId="0" fontId="6" fillId="0" borderId="0" xfId="0" applyFont="1"/>
    <xf numFmtId="166" fontId="6" fillId="0" borderId="0" xfId="1" applyNumberFormat="1" applyFont="1"/>
  </cellXfs>
  <cellStyles count="3">
    <cellStyle name="Comma" xfId="1" builtinId="3"/>
    <cellStyle name="Normal" xfId="0" builtinId="0"/>
    <cellStyle name="Normal 2" xfId="2" xr:uid="{AA517FDE-9C82-4927-951A-71DDD3D6551A}"/>
  </cellStyles>
  <dxfs count="9">
    <dxf>
      <font>
        <b/>
        <i val="0"/>
        <strike val="0"/>
        <color theme="0"/>
      </font>
      <fill>
        <patternFill>
          <bgColor theme="4"/>
        </patternFill>
      </fill>
    </dxf>
    <dxf>
      <font>
        <i/>
      </font>
      <numFmt numFmtId="166" formatCode="_(* #,##0_);_(* \(#,##0\);_(* &quot;-&quot;??_);_(@_)"/>
    </dxf>
    <dxf>
      <font>
        <i/>
      </font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D67E2-AB4A-4D9D-BAF7-CAE36A489B6B}" name="Table1" displayName="Table1" ref="A1:C27" totalsRowShown="0">
  <autoFilter ref="A1:C27" xr:uid="{F4ED67E2-AB4A-4D9D-BAF7-CAE36A489B6B}"/>
  <sortState xmlns:xlrd2="http://schemas.microsoft.com/office/spreadsheetml/2017/richdata2" ref="A2:C27">
    <sortCondition ref="C2:C27"/>
  </sortState>
  <tableColumns count="3">
    <tableColumn id="1" xr3:uid="{AC34C156-455C-4682-B5C5-ECC6858663E0}" name="Category"/>
    <tableColumn id="2" xr3:uid="{3C41A65A-3E22-4B82-9258-32E923CE78F8}" name="Collection"/>
    <tableColumn id="3" xr3:uid="{A3BF1D44-290F-46CF-9E0A-5B8E8716B72B}" name="Listing" dataDxfId="8">
      <calculatedColumnFormula>Table1[[#This Row],[Category]]&amp;" : "&amp;Table1[[#This Row],[Collection]]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5A443-BB69-482C-84DA-1F7E56E454F0}" name="Table2" displayName="Table2" ref="A1:H16" totalsRowShown="0">
  <autoFilter ref="A1:H16" xr:uid="{3335A443-BB69-482C-84DA-1F7E56E454F0}"/>
  <tableColumns count="8">
    <tableColumn id="1" xr3:uid="{41D13692-B6E6-45D8-BCCA-CB206ACB4211}" name="Name"/>
    <tableColumn id="2" xr3:uid="{A27D25BC-EAEE-48EF-8F0F-609878B32BA7}" name="Total" dataDxfId="7" dataCellStyle="Comma">
      <calculatedColumnFormula>SUM(Table2[[#This Row],[Central]:[In-Transit]])</calculatedColumnFormula>
    </tableColumn>
    <tableColumn id="9" xr3:uid="{D0D13B01-4A8C-4F9B-AC16-F1F2292DB62D}" name="Central" dataDxfId="6" dataCellStyle="Comma"/>
    <tableColumn id="4" xr3:uid="{925E0D85-7A83-49F0-9AFA-7232166AB24D}" name="Indy" dataDxfId="5" dataCellStyle="Comma"/>
    <tableColumn id="5" xr3:uid="{111745DD-4438-4536-B95D-CCEC87423AB1}" name="Philly" dataDxfId="4" dataCellStyle="Comma"/>
    <tableColumn id="8" xr3:uid="{09DBF6CE-3291-4E3D-878E-1933AAEE7A7B}" name="Shopify" dataDxfId="3" dataCellStyle="Comma"/>
    <tableColumn id="6" xr3:uid="{26CB0539-EA0C-4A60-9A03-6436946C8E52}" name="Gen Con" dataDxfId="2" dataCellStyle="Comma"/>
    <tableColumn id="7" xr3:uid="{B98FB333-0E22-47ED-9350-71BDA2CAAFC9}" name="In-Transit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64FD-12D3-4D27-A45F-2E7AA6D2C245}">
  <dimension ref="A2:A159"/>
  <sheetViews>
    <sheetView tabSelected="1" topLeftCell="A115" workbookViewId="0">
      <selection activeCell="H148" sqref="H148"/>
    </sheetView>
  </sheetViews>
  <sheetFormatPr defaultRowHeight="13.5" x14ac:dyDescent="0.25"/>
  <cols>
    <col min="1" max="1" width="45.5703125" bestFit="1" customWidth="1"/>
  </cols>
  <sheetData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4" t="s">
        <v>4</v>
      </c>
    </row>
    <row r="7" spans="1:1" x14ac:dyDescent="0.25">
      <c r="A7" s="2" t="s">
        <v>1</v>
      </c>
    </row>
    <row r="8" spans="1:1" x14ac:dyDescent="0.25">
      <c r="A8" s="3" t="s">
        <v>2</v>
      </c>
    </row>
    <row r="9" spans="1:1" x14ac:dyDescent="0.25">
      <c r="A9" s="5" t="s">
        <v>5</v>
      </c>
    </row>
    <row r="10" spans="1:1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3" t="s">
        <v>8</v>
      </c>
    </row>
    <row r="13" spans="1:1" x14ac:dyDescent="0.25">
      <c r="A13" s="2" t="s">
        <v>9</v>
      </c>
    </row>
    <row r="14" spans="1:1" x14ac:dyDescent="0.25">
      <c r="A14" s="3" t="s">
        <v>10</v>
      </c>
    </row>
    <row r="15" spans="1:1" x14ac:dyDescent="0.25">
      <c r="A15" s="2" t="s">
        <v>11</v>
      </c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3" t="s">
        <v>14</v>
      </c>
    </row>
    <row r="19" spans="1:1" x14ac:dyDescent="0.25">
      <c r="A19" s="2" t="s">
        <v>15</v>
      </c>
    </row>
    <row r="20" spans="1:1" x14ac:dyDescent="0.25">
      <c r="A20" s="3" t="s">
        <v>16</v>
      </c>
    </row>
    <row r="21" spans="1:1" x14ac:dyDescent="0.25">
      <c r="A21" s="2" t="s">
        <v>17</v>
      </c>
    </row>
    <row r="22" spans="1:1" x14ac:dyDescent="0.25">
      <c r="A22" s="3" t="s">
        <v>18</v>
      </c>
    </row>
    <row r="23" spans="1:1" x14ac:dyDescent="0.25">
      <c r="A23" s="2" t="s">
        <v>19</v>
      </c>
    </row>
    <row r="24" spans="1:1" x14ac:dyDescent="0.25">
      <c r="A24" s="3" t="s">
        <v>20</v>
      </c>
    </row>
    <row r="25" spans="1:1" x14ac:dyDescent="0.25">
      <c r="A25" s="2" t="s">
        <v>21</v>
      </c>
    </row>
    <row r="26" spans="1:1" x14ac:dyDescent="0.25">
      <c r="A26" s="3" t="s">
        <v>22</v>
      </c>
    </row>
    <row r="27" spans="1:1" x14ac:dyDescent="0.25">
      <c r="A27" s="2" t="s">
        <v>23</v>
      </c>
    </row>
    <row r="28" spans="1:1" x14ac:dyDescent="0.25">
      <c r="A28" s="3" t="s">
        <v>24</v>
      </c>
    </row>
    <row r="29" spans="1:1" x14ac:dyDescent="0.25">
      <c r="A29" s="2" t="s">
        <v>25</v>
      </c>
    </row>
    <row r="30" spans="1:1" x14ac:dyDescent="0.25">
      <c r="A30" s="3" t="s">
        <v>26</v>
      </c>
    </row>
    <row r="31" spans="1:1" x14ac:dyDescent="0.25">
      <c r="A31" s="2" t="s">
        <v>27</v>
      </c>
    </row>
    <row r="32" spans="1:1" x14ac:dyDescent="0.25">
      <c r="A32" s="3" t="s">
        <v>28</v>
      </c>
    </row>
    <row r="33" spans="1:1" x14ac:dyDescent="0.25">
      <c r="A33" s="5" t="s">
        <v>29</v>
      </c>
    </row>
    <row r="34" spans="1:1" x14ac:dyDescent="0.25">
      <c r="A34" s="3" t="s">
        <v>1</v>
      </c>
    </row>
    <row r="35" spans="1:1" x14ac:dyDescent="0.25">
      <c r="A35" s="2" t="s">
        <v>2</v>
      </c>
    </row>
    <row r="36" spans="1:1" x14ac:dyDescent="0.25">
      <c r="A36" s="3" t="s">
        <v>30</v>
      </c>
    </row>
    <row r="37" spans="1:1" x14ac:dyDescent="0.25">
      <c r="A37" s="2" t="s">
        <v>31</v>
      </c>
    </row>
    <row r="38" spans="1:1" x14ac:dyDescent="0.25">
      <c r="A38" s="1" t="s">
        <v>32</v>
      </c>
    </row>
    <row r="39" spans="1:1" x14ac:dyDescent="0.25">
      <c r="A39" s="2" t="s">
        <v>33</v>
      </c>
    </row>
    <row r="40" spans="1:1" x14ac:dyDescent="0.25">
      <c r="A40" s="6" t="s">
        <v>34</v>
      </c>
    </row>
    <row r="41" spans="1:1" x14ac:dyDescent="0.25">
      <c r="A41" s="7" t="s">
        <v>35</v>
      </c>
    </row>
    <row r="42" spans="1:1" x14ac:dyDescent="0.25">
      <c r="A42" s="6" t="s">
        <v>36</v>
      </c>
    </row>
    <row r="43" spans="1:1" x14ac:dyDescent="0.25">
      <c r="A43" s="7" t="s">
        <v>37</v>
      </c>
    </row>
    <row r="44" spans="1:1" x14ac:dyDescent="0.25">
      <c r="A44" s="1" t="s">
        <v>38</v>
      </c>
    </row>
    <row r="45" spans="1:1" x14ac:dyDescent="0.25">
      <c r="A45" s="2" t="s">
        <v>39</v>
      </c>
    </row>
    <row r="46" spans="1:1" x14ac:dyDescent="0.25">
      <c r="A46" s="3" t="s">
        <v>40</v>
      </c>
    </row>
    <row r="47" spans="1:1" x14ac:dyDescent="0.25">
      <c r="A47" s="2" t="s">
        <v>41</v>
      </c>
    </row>
    <row r="48" spans="1:1" x14ac:dyDescent="0.25">
      <c r="A48" s="1" t="s">
        <v>42</v>
      </c>
    </row>
    <row r="49" spans="1:1" x14ac:dyDescent="0.25">
      <c r="A49" s="2" t="s">
        <v>43</v>
      </c>
    </row>
    <row r="50" spans="1:1" x14ac:dyDescent="0.25">
      <c r="A50" s="3" t="s">
        <v>44</v>
      </c>
    </row>
    <row r="51" spans="1:1" x14ac:dyDescent="0.25">
      <c r="A51" s="2" t="s">
        <v>45</v>
      </c>
    </row>
    <row r="52" spans="1:1" x14ac:dyDescent="0.25">
      <c r="A52" s="3" t="s">
        <v>46</v>
      </c>
    </row>
    <row r="53" spans="1:1" x14ac:dyDescent="0.25">
      <c r="A53" s="2" t="s">
        <v>47</v>
      </c>
    </row>
    <row r="54" spans="1:1" x14ac:dyDescent="0.25">
      <c r="A54" s="3" t="s">
        <v>48</v>
      </c>
    </row>
    <row r="55" spans="1:1" x14ac:dyDescent="0.25">
      <c r="A55" s="5" t="s">
        <v>49</v>
      </c>
    </row>
    <row r="56" spans="1:1" x14ac:dyDescent="0.25">
      <c r="A56" s="3" t="s">
        <v>1</v>
      </c>
    </row>
    <row r="57" spans="1:1" x14ac:dyDescent="0.25">
      <c r="A57" s="2" t="s">
        <v>2</v>
      </c>
    </row>
    <row r="58" spans="1:1" x14ac:dyDescent="0.25">
      <c r="A58" s="1" t="s">
        <v>50</v>
      </c>
    </row>
    <row r="59" spans="1:1" x14ac:dyDescent="0.25">
      <c r="A59" s="2" t="s">
        <v>51</v>
      </c>
    </row>
    <row r="60" spans="1:1" x14ac:dyDescent="0.25">
      <c r="A60" s="3" t="s">
        <v>52</v>
      </c>
    </row>
    <row r="61" spans="1:1" x14ac:dyDescent="0.25">
      <c r="A61" s="2" t="s">
        <v>53</v>
      </c>
    </row>
    <row r="62" spans="1:1" x14ac:dyDescent="0.25">
      <c r="A62" s="3" t="s">
        <v>54</v>
      </c>
    </row>
    <row r="63" spans="1:1" x14ac:dyDescent="0.25">
      <c r="A63" s="2" t="s">
        <v>55</v>
      </c>
    </row>
    <row r="64" spans="1:1" x14ac:dyDescent="0.25">
      <c r="A64" s="3" t="s">
        <v>56</v>
      </c>
    </row>
    <row r="65" spans="1:1" x14ac:dyDescent="0.25">
      <c r="A65" s="2" t="s">
        <v>57</v>
      </c>
    </row>
    <row r="66" spans="1:1" x14ac:dyDescent="0.25">
      <c r="A66" s="1" t="s">
        <v>58</v>
      </c>
    </row>
    <row r="67" spans="1:1" x14ac:dyDescent="0.25">
      <c r="A67" s="2" t="s">
        <v>59</v>
      </c>
    </row>
    <row r="68" spans="1:1" x14ac:dyDescent="0.25">
      <c r="A68" s="3" t="s">
        <v>1</v>
      </c>
    </row>
    <row r="69" spans="1:1" x14ac:dyDescent="0.25">
      <c r="A69" s="2" t="s">
        <v>60</v>
      </c>
    </row>
    <row r="70" spans="1:1" x14ac:dyDescent="0.25">
      <c r="A70" s="3" t="s">
        <v>61</v>
      </c>
    </row>
    <row r="71" spans="1:1" x14ac:dyDescent="0.25">
      <c r="A71" s="2" t="s">
        <v>62</v>
      </c>
    </row>
    <row r="72" spans="1:1" x14ac:dyDescent="0.25">
      <c r="A72" s="3" t="s">
        <v>63</v>
      </c>
    </row>
    <row r="73" spans="1:1" x14ac:dyDescent="0.25">
      <c r="A73" s="2" t="s">
        <v>64</v>
      </c>
    </row>
    <row r="74" spans="1:1" x14ac:dyDescent="0.25">
      <c r="A74" s="3" t="s">
        <v>65</v>
      </c>
    </row>
    <row r="75" spans="1:1" x14ac:dyDescent="0.25">
      <c r="A75" s="2" t="s">
        <v>66</v>
      </c>
    </row>
    <row r="76" spans="1:1" x14ac:dyDescent="0.25">
      <c r="A76" s="3" t="s">
        <v>67</v>
      </c>
    </row>
    <row r="77" spans="1:1" x14ac:dyDescent="0.25">
      <c r="A77" s="2" t="s">
        <v>68</v>
      </c>
    </row>
    <row r="78" spans="1:1" x14ac:dyDescent="0.25">
      <c r="A78" s="3" t="s">
        <v>69</v>
      </c>
    </row>
    <row r="79" spans="1:1" x14ac:dyDescent="0.25">
      <c r="A79" s="2" t="s">
        <v>70</v>
      </c>
    </row>
    <row r="80" spans="1:1" x14ac:dyDescent="0.25">
      <c r="A80" s="3" t="s">
        <v>71</v>
      </c>
    </row>
    <row r="81" spans="1:1" x14ac:dyDescent="0.25">
      <c r="A81" s="2" t="s">
        <v>72</v>
      </c>
    </row>
    <row r="82" spans="1:1" x14ac:dyDescent="0.25">
      <c r="A82" s="3" t="s">
        <v>73</v>
      </c>
    </row>
    <row r="83" spans="1:1" x14ac:dyDescent="0.25">
      <c r="A83" s="2" t="s">
        <v>74</v>
      </c>
    </row>
    <row r="84" spans="1:1" x14ac:dyDescent="0.25">
      <c r="A84" s="3" t="s">
        <v>75</v>
      </c>
    </row>
    <row r="85" spans="1:1" x14ac:dyDescent="0.25">
      <c r="A85" s="2" t="s">
        <v>76</v>
      </c>
    </row>
    <row r="86" spans="1:1" x14ac:dyDescent="0.25">
      <c r="A86" s="3" t="s">
        <v>77</v>
      </c>
    </row>
    <row r="87" spans="1:1" x14ac:dyDescent="0.25">
      <c r="A87" s="2" t="s">
        <v>78</v>
      </c>
    </row>
    <row r="88" spans="1:1" x14ac:dyDescent="0.25">
      <c r="A88" s="3" t="s">
        <v>79</v>
      </c>
    </row>
    <row r="89" spans="1:1" x14ac:dyDescent="0.25">
      <c r="A89" s="2" t="s">
        <v>80</v>
      </c>
    </row>
    <row r="90" spans="1:1" x14ac:dyDescent="0.25">
      <c r="A90" s="3" t="s">
        <v>81</v>
      </c>
    </row>
    <row r="91" spans="1:1" x14ac:dyDescent="0.25">
      <c r="A91" s="2" t="s">
        <v>82</v>
      </c>
    </row>
    <row r="92" spans="1:1" x14ac:dyDescent="0.25">
      <c r="A92" s="3" t="s">
        <v>83</v>
      </c>
    </row>
    <row r="93" spans="1:1" x14ac:dyDescent="0.25">
      <c r="A93" s="7" t="s">
        <v>84</v>
      </c>
    </row>
    <row r="94" spans="1:1" x14ac:dyDescent="0.25">
      <c r="A94" s="4" t="s">
        <v>85</v>
      </c>
    </row>
    <row r="95" spans="1:1" x14ac:dyDescent="0.25">
      <c r="A95" s="5" t="s">
        <v>86</v>
      </c>
    </row>
    <row r="96" spans="1:1" x14ac:dyDescent="0.25">
      <c r="A96" s="3" t="s">
        <v>87</v>
      </c>
    </row>
    <row r="97" spans="1:1" x14ac:dyDescent="0.25">
      <c r="A97" s="2" t="s">
        <v>88</v>
      </c>
    </row>
    <row r="98" spans="1:1" x14ac:dyDescent="0.25">
      <c r="A98" s="3" t="s">
        <v>89</v>
      </c>
    </row>
    <row r="99" spans="1:1" x14ac:dyDescent="0.25">
      <c r="A99" s="2" t="s">
        <v>90</v>
      </c>
    </row>
    <row r="100" spans="1:1" x14ac:dyDescent="0.25">
      <c r="A100" s="3" t="s">
        <v>91</v>
      </c>
    </row>
    <row r="101" spans="1:1" x14ac:dyDescent="0.25">
      <c r="A101" s="2" t="s">
        <v>92</v>
      </c>
    </row>
    <row r="102" spans="1:1" x14ac:dyDescent="0.25">
      <c r="A102" s="3" t="s">
        <v>93</v>
      </c>
    </row>
    <row r="103" spans="1:1" x14ac:dyDescent="0.25">
      <c r="A103" s="5" t="s">
        <v>94</v>
      </c>
    </row>
    <row r="104" spans="1:1" x14ac:dyDescent="0.25">
      <c r="A104" s="3" t="s">
        <v>1</v>
      </c>
    </row>
    <row r="105" spans="1:1" x14ac:dyDescent="0.25">
      <c r="A105" s="2" t="s">
        <v>95</v>
      </c>
    </row>
    <row r="106" spans="1:1" x14ac:dyDescent="0.25">
      <c r="A106" s="3" t="s">
        <v>96</v>
      </c>
    </row>
    <row r="107" spans="1:1" x14ac:dyDescent="0.25">
      <c r="A107" s="2" t="s">
        <v>97</v>
      </c>
    </row>
    <row r="108" spans="1:1" x14ac:dyDescent="0.25">
      <c r="A108" s="3" t="s">
        <v>98</v>
      </c>
    </row>
    <row r="109" spans="1:1" x14ac:dyDescent="0.25">
      <c r="A109" s="2" t="s">
        <v>99</v>
      </c>
    </row>
    <row r="110" spans="1:1" x14ac:dyDescent="0.25">
      <c r="A110" s="4" t="s">
        <v>100</v>
      </c>
    </row>
    <row r="111" spans="1:1" x14ac:dyDescent="0.25">
      <c r="A111" s="2" t="s">
        <v>101</v>
      </c>
    </row>
    <row r="112" spans="1:1" x14ac:dyDescent="0.25">
      <c r="A112" s="3" t="s">
        <v>102</v>
      </c>
    </row>
    <row r="113" spans="1:1" x14ac:dyDescent="0.25">
      <c r="A113" s="2" t="s">
        <v>48</v>
      </c>
    </row>
    <row r="114" spans="1:1" x14ac:dyDescent="0.25">
      <c r="A114" s="3" t="s">
        <v>103</v>
      </c>
    </row>
    <row r="115" spans="1:1" x14ac:dyDescent="0.25">
      <c r="A115" s="5" t="s">
        <v>104</v>
      </c>
    </row>
    <row r="116" spans="1:1" x14ac:dyDescent="0.25">
      <c r="A116" s="3" t="s">
        <v>105</v>
      </c>
    </row>
    <row r="117" spans="1:1" x14ac:dyDescent="0.25">
      <c r="A117" s="2" t="s">
        <v>106</v>
      </c>
    </row>
    <row r="118" spans="1:1" x14ac:dyDescent="0.25">
      <c r="A118" s="3" t="s">
        <v>107</v>
      </c>
    </row>
    <row r="119" spans="1:1" x14ac:dyDescent="0.25">
      <c r="A119" s="5" t="s">
        <v>108</v>
      </c>
    </row>
    <row r="120" spans="1:1" x14ac:dyDescent="0.25">
      <c r="A120" s="3" t="s">
        <v>109</v>
      </c>
    </row>
    <row r="121" spans="1:1" x14ac:dyDescent="0.25">
      <c r="A121" s="2" t="s">
        <v>110</v>
      </c>
    </row>
    <row r="122" spans="1:1" x14ac:dyDescent="0.25">
      <c r="A122" s="3" t="s">
        <v>111</v>
      </c>
    </row>
    <row r="123" spans="1:1" x14ac:dyDescent="0.25">
      <c r="A123" s="2" t="s">
        <v>112</v>
      </c>
    </row>
    <row r="124" spans="1:1" x14ac:dyDescent="0.25">
      <c r="A124" s="3" t="s">
        <v>113</v>
      </c>
    </row>
    <row r="125" spans="1:1" x14ac:dyDescent="0.25">
      <c r="A125" s="5" t="s">
        <v>114</v>
      </c>
    </row>
    <row r="126" spans="1:1" x14ac:dyDescent="0.25">
      <c r="A126" s="3" t="s">
        <v>115</v>
      </c>
    </row>
    <row r="127" spans="1:1" x14ac:dyDescent="0.25">
      <c r="A127" s="2" t="s">
        <v>116</v>
      </c>
    </row>
    <row r="128" spans="1:1" x14ac:dyDescent="0.25">
      <c r="A128" s="3" t="s">
        <v>117</v>
      </c>
    </row>
    <row r="129" spans="1:1" x14ac:dyDescent="0.25">
      <c r="A129" s="5" t="s">
        <v>118</v>
      </c>
    </row>
    <row r="130" spans="1:1" x14ac:dyDescent="0.25">
      <c r="A130" s="3" t="s">
        <v>119</v>
      </c>
    </row>
    <row r="131" spans="1:1" x14ac:dyDescent="0.25">
      <c r="A131" s="2" t="s">
        <v>120</v>
      </c>
    </row>
    <row r="132" spans="1:1" x14ac:dyDescent="0.25">
      <c r="A132" s="3" t="s">
        <v>121</v>
      </c>
    </row>
    <row r="133" spans="1:1" x14ac:dyDescent="0.25">
      <c r="A133" s="2" t="s">
        <v>122</v>
      </c>
    </row>
    <row r="134" spans="1:1" x14ac:dyDescent="0.25">
      <c r="A134" s="3" t="s">
        <v>123</v>
      </c>
    </row>
    <row r="135" spans="1:1" x14ac:dyDescent="0.25">
      <c r="A135" s="2" t="s">
        <v>124</v>
      </c>
    </row>
    <row r="136" spans="1:1" x14ac:dyDescent="0.25">
      <c r="A136" s="1" t="s">
        <v>125</v>
      </c>
    </row>
    <row r="137" spans="1:1" x14ac:dyDescent="0.25">
      <c r="A137" s="2" t="s">
        <v>126</v>
      </c>
    </row>
    <row r="138" spans="1:1" x14ac:dyDescent="0.25">
      <c r="A138" s="3" t="s">
        <v>127</v>
      </c>
    </row>
    <row r="139" spans="1:1" x14ac:dyDescent="0.25">
      <c r="A139" s="2" t="s">
        <v>128</v>
      </c>
    </row>
    <row r="140" spans="1:1" x14ac:dyDescent="0.25">
      <c r="A140" s="3" t="s">
        <v>129</v>
      </c>
    </row>
    <row r="141" spans="1:1" x14ac:dyDescent="0.25">
      <c r="A141" s="2" t="s">
        <v>130</v>
      </c>
    </row>
    <row r="142" spans="1:1" x14ac:dyDescent="0.25">
      <c r="A142" s="1" t="s">
        <v>131</v>
      </c>
    </row>
    <row r="143" spans="1:1" x14ac:dyDescent="0.25">
      <c r="A143" s="2" t="s">
        <v>132</v>
      </c>
    </row>
    <row r="144" spans="1:1" x14ac:dyDescent="0.25">
      <c r="A144" s="3" t="s">
        <v>133</v>
      </c>
    </row>
    <row r="145" spans="1:1" x14ac:dyDescent="0.25">
      <c r="A145" s="2" t="s">
        <v>134</v>
      </c>
    </row>
    <row r="146" spans="1:1" x14ac:dyDescent="0.25">
      <c r="A146" s="1" t="s">
        <v>135</v>
      </c>
    </row>
    <row r="147" spans="1:1" x14ac:dyDescent="0.25">
      <c r="A147" s="2" t="s">
        <v>136</v>
      </c>
    </row>
    <row r="148" spans="1:1" x14ac:dyDescent="0.25">
      <c r="A148" s="3" t="s">
        <v>137</v>
      </c>
    </row>
    <row r="149" spans="1:1" x14ac:dyDescent="0.25">
      <c r="A149" s="2" t="s">
        <v>138</v>
      </c>
    </row>
    <row r="150" spans="1:1" x14ac:dyDescent="0.25">
      <c r="A150" s="3" t="s">
        <v>139</v>
      </c>
    </row>
    <row r="151" spans="1:1" x14ac:dyDescent="0.25">
      <c r="A151" s="7" t="s">
        <v>140</v>
      </c>
    </row>
    <row r="152" spans="1:1" x14ac:dyDescent="0.25">
      <c r="A152" s="4" t="s">
        <v>141</v>
      </c>
    </row>
    <row r="153" spans="1:1" x14ac:dyDescent="0.25">
      <c r="A153" s="5" t="s">
        <v>142</v>
      </c>
    </row>
    <row r="154" spans="1:1" x14ac:dyDescent="0.25">
      <c r="A154" s="3" t="s">
        <v>143</v>
      </c>
    </row>
    <row r="155" spans="1:1" x14ac:dyDescent="0.25">
      <c r="A155" s="2" t="s">
        <v>144</v>
      </c>
    </row>
    <row r="156" spans="1:1" x14ac:dyDescent="0.25">
      <c r="A156" s="3" t="s">
        <v>145</v>
      </c>
    </row>
    <row r="157" spans="1:1" x14ac:dyDescent="0.25">
      <c r="A157" s="2" t="s">
        <v>115</v>
      </c>
    </row>
    <row r="158" spans="1:1" x14ac:dyDescent="0.25">
      <c r="A158" s="3" t="s">
        <v>361</v>
      </c>
    </row>
    <row r="159" spans="1:1" x14ac:dyDescent="0.25">
      <c r="A159" s="8" t="s">
        <v>147</v>
      </c>
    </row>
  </sheetData>
  <conditionalFormatting sqref="A2:A159">
    <cfRule type="expression" dxfId="0" priority="2">
      <formula>RIGHT(#REF!,5)="_AAAA"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7C02-3B1C-431D-81C4-D7509FF2828A}">
  <dimension ref="A1:D27"/>
  <sheetViews>
    <sheetView zoomScale="205" zoomScaleNormal="205" workbookViewId="0">
      <selection activeCell="B22" sqref="B22"/>
    </sheetView>
  </sheetViews>
  <sheetFormatPr defaultRowHeight="13.5" x14ac:dyDescent="0.25"/>
  <cols>
    <col min="1" max="1" width="11" bestFit="1" customWidth="1"/>
    <col min="2" max="2" width="16.140625" bestFit="1" customWidth="1"/>
    <col min="3" max="3" width="23.7109375" bestFit="1" customWidth="1"/>
    <col min="4" max="4" width="12.85546875" bestFit="1" customWidth="1"/>
  </cols>
  <sheetData>
    <row r="1" spans="1:4" x14ac:dyDescent="0.25">
      <c r="A1" t="s">
        <v>156</v>
      </c>
      <c r="B1" t="s">
        <v>157</v>
      </c>
      <c r="C1" t="s">
        <v>179</v>
      </c>
    </row>
    <row r="2" spans="1:4" x14ac:dyDescent="0.25">
      <c r="A2" t="s">
        <v>33</v>
      </c>
      <c r="B2" t="s">
        <v>33</v>
      </c>
      <c r="C2" t="str">
        <f>Table1[[#This Row],[Category]]&amp;" : "&amp;Table1[[#This Row],[Collection]]</f>
        <v>Badge Holder : Badge Holder</v>
      </c>
    </row>
    <row r="3" spans="1:4" x14ac:dyDescent="0.25">
      <c r="A3" t="s">
        <v>148</v>
      </c>
      <c r="B3" t="s">
        <v>148</v>
      </c>
      <c r="C3" t="str">
        <f>Table1[[#This Row],[Category]]&amp;" : "&amp;Table1[[#This Row],[Collection]]</f>
        <v>Buttons : Buttons</v>
      </c>
      <c r="D3" t="s">
        <v>168</v>
      </c>
    </row>
    <row r="4" spans="1:4" x14ac:dyDescent="0.25">
      <c r="A4" t="s">
        <v>152</v>
      </c>
      <c r="B4" t="s">
        <v>161</v>
      </c>
      <c r="C4" t="str">
        <f>Table1[[#This Row],[Category]]&amp;" : "&amp;Table1[[#This Row],[Collection]]</f>
        <v>Calendar : Seasons of Pride</v>
      </c>
    </row>
    <row r="5" spans="1:4" x14ac:dyDescent="0.25">
      <c r="A5" t="s">
        <v>149</v>
      </c>
      <c r="B5" t="s">
        <v>158</v>
      </c>
      <c r="C5" t="str">
        <f>Table1[[#This Row],[Category]]&amp;" : "&amp;Table1[[#This Row],[Collection]]</f>
        <v>Enamel Pins : Animals</v>
      </c>
    </row>
    <row r="6" spans="1:4" x14ac:dyDescent="0.25">
      <c r="A6" t="s">
        <v>149</v>
      </c>
      <c r="B6" t="s">
        <v>159</v>
      </c>
      <c r="C6" t="str">
        <f>Table1[[#This Row],[Category]]&amp;" : "&amp;Table1[[#This Row],[Collection]]</f>
        <v>Enamel Pins : Queer Coven</v>
      </c>
    </row>
    <row r="7" spans="1:4" x14ac:dyDescent="0.25">
      <c r="A7" t="s">
        <v>149</v>
      </c>
      <c r="B7" t="s">
        <v>160</v>
      </c>
      <c r="C7" t="str">
        <f>Table1[[#This Row],[Category]]&amp;" : "&amp;Table1[[#This Row],[Collection]]</f>
        <v>Enamel Pins : Special</v>
      </c>
    </row>
    <row r="8" spans="1:4" x14ac:dyDescent="0.25">
      <c r="A8" t="s">
        <v>170</v>
      </c>
      <c r="B8" t="s">
        <v>171</v>
      </c>
      <c r="C8" t="str">
        <f>Table1[[#This Row],[Category]]&amp;" : "&amp;Table1[[#This Row],[Collection]]</f>
        <v>Equipment : Donations</v>
      </c>
    </row>
    <row r="9" spans="1:4" x14ac:dyDescent="0.25">
      <c r="A9" t="s">
        <v>154</v>
      </c>
      <c r="B9" t="s">
        <v>167</v>
      </c>
      <c r="C9" t="str">
        <f>Table1[[#This Row],[Category]]&amp;" : "&amp;Table1[[#This Row],[Collection]]</f>
        <v>Handouts : Info Sheets</v>
      </c>
    </row>
    <row r="10" spans="1:4" x14ac:dyDescent="0.25">
      <c r="A10" t="s">
        <v>154</v>
      </c>
      <c r="B10" t="s">
        <v>155</v>
      </c>
      <c r="C10" t="str">
        <f>Table1[[#This Row],[Category]]&amp;" : "&amp;Table1[[#This Row],[Collection]]</f>
        <v>Handouts : Partners</v>
      </c>
    </row>
    <row r="11" spans="1:4" x14ac:dyDescent="0.25">
      <c r="A11" t="s">
        <v>169</v>
      </c>
      <c r="B11" t="s">
        <v>96</v>
      </c>
      <c r="C11" t="str">
        <f>Table1[[#This Row],[Category]]&amp;" : "&amp;Table1[[#This Row],[Collection]]</f>
        <v>Program : Gaming Safe Space</v>
      </c>
    </row>
    <row r="12" spans="1:4" x14ac:dyDescent="0.25">
      <c r="A12" t="s">
        <v>169</v>
      </c>
      <c r="B12" t="s">
        <v>97</v>
      </c>
      <c r="C12" t="str">
        <f>Table1[[#This Row],[Category]]&amp;" : "&amp;Table1[[#This Row],[Collection]]</f>
        <v>Program : Gayme Night</v>
      </c>
    </row>
    <row r="13" spans="1:4" x14ac:dyDescent="0.25">
      <c r="A13" t="s">
        <v>169</v>
      </c>
      <c r="B13" t="s">
        <v>178</v>
      </c>
      <c r="C13" t="str">
        <f>Table1[[#This Row],[Category]]&amp;" : "&amp;Table1[[#This Row],[Collection]]</f>
        <v>Program : Gayme Night Games</v>
      </c>
    </row>
    <row r="14" spans="1:4" x14ac:dyDescent="0.25">
      <c r="A14" t="s">
        <v>169</v>
      </c>
      <c r="B14" t="s">
        <v>177</v>
      </c>
      <c r="C14" t="str">
        <f>Table1[[#This Row],[Category]]&amp;" : "&amp;Table1[[#This Row],[Collection]]</f>
        <v>Program : Reroll</v>
      </c>
    </row>
    <row r="15" spans="1:4" x14ac:dyDescent="0.25">
      <c r="A15" t="s">
        <v>153</v>
      </c>
      <c r="B15" t="s">
        <v>163</v>
      </c>
      <c r="C15" t="str">
        <f>Table1[[#This Row],[Category]]&amp;" : "&amp;Table1[[#This Row],[Collection]]</f>
        <v>Ribbons : G/A</v>
      </c>
    </row>
    <row r="16" spans="1:4" x14ac:dyDescent="0.25">
      <c r="A16" t="s">
        <v>153</v>
      </c>
      <c r="B16" t="s">
        <v>165</v>
      </c>
      <c r="C16" t="str">
        <f>Table1[[#This Row],[Category]]&amp;" : "&amp;Table1[[#This Row],[Collection]]</f>
        <v>Ribbons : Pride Flag</v>
      </c>
    </row>
    <row r="17" spans="1:3" x14ac:dyDescent="0.25">
      <c r="A17" t="s">
        <v>153</v>
      </c>
      <c r="B17" t="s">
        <v>164</v>
      </c>
      <c r="C17" t="str">
        <f>Table1[[#This Row],[Category]]&amp;" : "&amp;Table1[[#This Row],[Collection]]</f>
        <v>Ribbons : Pronouns</v>
      </c>
    </row>
    <row r="18" spans="1:3" x14ac:dyDescent="0.25">
      <c r="A18" t="s">
        <v>153</v>
      </c>
      <c r="B18" t="s">
        <v>160</v>
      </c>
      <c r="C18" t="str">
        <f>Table1[[#This Row],[Category]]&amp;" : "&amp;Table1[[#This Row],[Collection]]</f>
        <v>Ribbons : Special</v>
      </c>
    </row>
    <row r="19" spans="1:3" x14ac:dyDescent="0.25">
      <c r="A19" t="s">
        <v>153</v>
      </c>
      <c r="B19" t="s">
        <v>162</v>
      </c>
      <c r="C19" t="str">
        <f>Table1[[#This Row],[Category]]&amp;" : "&amp;Table1[[#This Row],[Collection]]</f>
        <v>Ribbons : Trays - Cards</v>
      </c>
    </row>
    <row r="20" spans="1:3" x14ac:dyDescent="0.25">
      <c r="A20" t="s">
        <v>151</v>
      </c>
      <c r="B20" t="s">
        <v>159</v>
      </c>
      <c r="C20" t="str">
        <f>Table1[[#This Row],[Category]]&amp;" : "&amp;Table1[[#This Row],[Collection]]</f>
        <v>RPG : Queer Coven</v>
      </c>
    </row>
    <row r="21" spans="1:3" x14ac:dyDescent="0.25">
      <c r="A21" t="s">
        <v>172</v>
      </c>
      <c r="B21" t="s">
        <v>174</v>
      </c>
      <c r="C21" t="str">
        <f>Table1[[#This Row],[Category]]&amp;" : "&amp;Table1[[#This Row],[Collection]]</f>
        <v>Shipping : Boxes</v>
      </c>
    </row>
    <row r="22" spans="1:3" x14ac:dyDescent="0.25">
      <c r="A22" t="s">
        <v>172</v>
      </c>
      <c r="B22" t="s">
        <v>176</v>
      </c>
      <c r="C22" t="str">
        <f>Table1[[#This Row],[Category]]&amp;" : "&amp;Table1[[#This Row],[Collection]]</f>
        <v>Shipping : Cash Handling</v>
      </c>
    </row>
    <row r="23" spans="1:3" x14ac:dyDescent="0.25">
      <c r="A23" t="s">
        <v>172</v>
      </c>
      <c r="B23" t="s">
        <v>170</v>
      </c>
      <c r="C23" t="str">
        <f>Table1[[#This Row],[Category]]&amp;" : "&amp;Table1[[#This Row],[Collection]]</f>
        <v>Shipping : Equipment</v>
      </c>
    </row>
    <row r="24" spans="1:3" x14ac:dyDescent="0.25">
      <c r="A24" t="s">
        <v>172</v>
      </c>
      <c r="B24" t="s">
        <v>173</v>
      </c>
      <c r="C24" t="str">
        <f>Table1[[#This Row],[Category]]&amp;" : "&amp;Table1[[#This Row],[Collection]]</f>
        <v>Shipping : Material</v>
      </c>
    </row>
    <row r="25" spans="1:3" x14ac:dyDescent="0.25">
      <c r="A25" t="s">
        <v>172</v>
      </c>
      <c r="B25" t="s">
        <v>175</v>
      </c>
      <c r="C25" t="str">
        <f>Table1[[#This Row],[Category]]&amp;" : "&amp;Table1[[#This Row],[Collection]]</f>
        <v>Shipping : Signage</v>
      </c>
    </row>
    <row r="26" spans="1:3" x14ac:dyDescent="0.25">
      <c r="A26" t="s">
        <v>166</v>
      </c>
      <c r="B26" t="s">
        <v>43</v>
      </c>
      <c r="C26" t="str">
        <f>Table1[[#This Row],[Category]]&amp;" : "&amp;Table1[[#This Row],[Collection]]</f>
        <v>Tokens : Sponsor</v>
      </c>
    </row>
    <row r="27" spans="1:3" x14ac:dyDescent="0.25">
      <c r="A27" t="s">
        <v>150</v>
      </c>
      <c r="B27" t="s">
        <v>150</v>
      </c>
      <c r="C27" t="str">
        <f>Table1[[#This Row],[Category]]&amp;" : "&amp;Table1[[#This Row],[Collection]]</f>
        <v>Wristbands : Wristbands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2ADC-6003-49D4-A73E-7DE6C66914E1}">
  <dimension ref="A1:O158"/>
  <sheetViews>
    <sheetView workbookViewId="0"/>
  </sheetViews>
  <sheetFormatPr defaultRowHeight="13.5" x14ac:dyDescent="0.25"/>
  <cols>
    <col min="3" max="3" width="41.140625" bestFit="1" customWidth="1"/>
  </cols>
  <sheetData>
    <row r="1" spans="1:15" x14ac:dyDescent="0.25">
      <c r="A1" s="9">
        <v>10000</v>
      </c>
      <c r="B1" t="s">
        <v>180</v>
      </c>
      <c r="C1" t="s">
        <v>0</v>
      </c>
      <c r="D1" s="10">
        <v>0</v>
      </c>
      <c r="E1" s="10">
        <v>0</v>
      </c>
      <c r="F1" s="10" t="s">
        <v>337</v>
      </c>
      <c r="G1" s="10">
        <v>0</v>
      </c>
      <c r="H1" s="10">
        <v>0</v>
      </c>
      <c r="I1" s="10"/>
      <c r="J1" s="10">
        <v>0</v>
      </c>
      <c r="K1" s="10">
        <v>0</v>
      </c>
      <c r="L1" s="11">
        <v>0</v>
      </c>
      <c r="M1" s="11">
        <v>0</v>
      </c>
      <c r="N1" s="12">
        <v>0</v>
      </c>
      <c r="O1" s="12">
        <v>0</v>
      </c>
    </row>
    <row r="2" spans="1:15" x14ac:dyDescent="0.25">
      <c r="A2" s="9">
        <v>10100</v>
      </c>
      <c r="B2" t="s">
        <v>181</v>
      </c>
      <c r="C2" t="s">
        <v>1</v>
      </c>
      <c r="D2" s="10">
        <v>5000</v>
      </c>
      <c r="E2" s="10">
        <v>29</v>
      </c>
      <c r="F2" s="10">
        <v>0</v>
      </c>
      <c r="G2" s="10">
        <v>301</v>
      </c>
      <c r="H2" s="10">
        <v>227</v>
      </c>
      <c r="I2" s="10"/>
      <c r="J2" s="10">
        <v>557</v>
      </c>
      <c r="K2" s="10">
        <v>5557</v>
      </c>
      <c r="L2" s="11">
        <v>0.25180799999999998</v>
      </c>
      <c r="M2" s="11">
        <v>1399.2970559999999</v>
      </c>
      <c r="N2" s="12">
        <v>1250</v>
      </c>
      <c r="O2" s="12">
        <v>-4307</v>
      </c>
    </row>
    <row r="3" spans="1:15" x14ac:dyDescent="0.25">
      <c r="A3" s="9">
        <v>10110</v>
      </c>
      <c r="B3" t="s">
        <v>182</v>
      </c>
      <c r="C3" t="s">
        <v>2</v>
      </c>
      <c r="D3" s="10">
        <v>5000</v>
      </c>
      <c r="E3" s="10">
        <v>2</v>
      </c>
      <c r="F3" s="10">
        <v>17</v>
      </c>
      <c r="G3" s="10">
        <v>261</v>
      </c>
      <c r="H3" s="10">
        <v>325</v>
      </c>
      <c r="I3" s="10"/>
      <c r="J3" s="10">
        <v>605</v>
      </c>
      <c r="K3" s="10">
        <v>5605</v>
      </c>
      <c r="L3" s="11">
        <v>0.25180799999999998</v>
      </c>
      <c r="M3" s="11">
        <v>1411.38384</v>
      </c>
      <c r="N3" s="12">
        <v>1250</v>
      </c>
      <c r="O3" s="12">
        <v>-4355</v>
      </c>
    </row>
    <row r="4" spans="1:15" x14ac:dyDescent="0.25">
      <c r="A4" s="9">
        <v>10200</v>
      </c>
      <c r="B4" t="s">
        <v>183</v>
      </c>
      <c r="C4" t="s">
        <v>3</v>
      </c>
      <c r="D4" s="10">
        <v>5000</v>
      </c>
      <c r="E4" s="10">
        <v>59</v>
      </c>
      <c r="F4" s="10">
        <v>0</v>
      </c>
      <c r="G4" s="10">
        <v>645</v>
      </c>
      <c r="H4" s="10">
        <v>80</v>
      </c>
      <c r="I4" s="10"/>
      <c r="J4" s="10">
        <v>784</v>
      </c>
      <c r="K4" s="10">
        <v>5784</v>
      </c>
      <c r="L4" s="11">
        <v>0.22780999999999998</v>
      </c>
      <c r="M4" s="11">
        <v>1317.6530399999999</v>
      </c>
      <c r="N4" s="12">
        <v>3000</v>
      </c>
      <c r="O4" s="12">
        <v>-2784</v>
      </c>
    </row>
    <row r="5" spans="1:15" x14ac:dyDescent="0.25">
      <c r="A5" s="9">
        <v>10300</v>
      </c>
      <c r="B5" t="s">
        <v>184</v>
      </c>
      <c r="C5" t="s">
        <v>4</v>
      </c>
      <c r="D5" s="10">
        <v>5000</v>
      </c>
      <c r="E5" s="10">
        <v>0</v>
      </c>
      <c r="F5" s="10">
        <v>0</v>
      </c>
      <c r="G5" s="10">
        <v>0</v>
      </c>
      <c r="H5" s="10">
        <v>0</v>
      </c>
      <c r="I5" s="10"/>
      <c r="J5" s="10">
        <v>0</v>
      </c>
      <c r="K5" s="10">
        <v>5000</v>
      </c>
      <c r="L5" s="11">
        <v>0</v>
      </c>
      <c r="M5" s="11">
        <v>0</v>
      </c>
      <c r="N5" s="12">
        <v>0</v>
      </c>
      <c r="O5" s="12">
        <v>-5000</v>
      </c>
    </row>
    <row r="6" spans="1:15" x14ac:dyDescent="0.25">
      <c r="A6" s="9">
        <v>10910.1</v>
      </c>
      <c r="B6" t="s">
        <v>185</v>
      </c>
      <c r="C6" t="s">
        <v>1</v>
      </c>
      <c r="D6" s="10" t="s">
        <v>337</v>
      </c>
      <c r="E6" s="10">
        <v>3</v>
      </c>
      <c r="F6" s="10">
        <v>0</v>
      </c>
      <c r="G6" s="10">
        <v>0</v>
      </c>
      <c r="H6" s="10">
        <v>0</v>
      </c>
      <c r="I6" s="10"/>
      <c r="J6" s="10">
        <v>3</v>
      </c>
      <c r="K6" s="10">
        <v>3</v>
      </c>
      <c r="L6" s="11">
        <v>0</v>
      </c>
      <c r="M6" s="11">
        <v>0</v>
      </c>
      <c r="N6" s="12">
        <v>0</v>
      </c>
      <c r="O6" s="12">
        <v>-3</v>
      </c>
    </row>
    <row r="7" spans="1:15" x14ac:dyDescent="0.25">
      <c r="A7" s="9">
        <v>10920.1</v>
      </c>
      <c r="B7" t="s">
        <v>186</v>
      </c>
      <c r="C7" t="s">
        <v>2</v>
      </c>
      <c r="D7" s="10" t="s">
        <v>337</v>
      </c>
      <c r="E7" s="10">
        <v>73</v>
      </c>
      <c r="F7" s="10">
        <v>0</v>
      </c>
      <c r="G7" s="10">
        <v>0</v>
      </c>
      <c r="H7" s="10">
        <v>0</v>
      </c>
      <c r="I7" s="10"/>
      <c r="J7" s="10">
        <v>73</v>
      </c>
      <c r="K7" s="10">
        <v>73</v>
      </c>
      <c r="L7" s="11">
        <v>0</v>
      </c>
      <c r="M7" s="11">
        <v>0</v>
      </c>
      <c r="N7" s="12">
        <v>0</v>
      </c>
      <c r="O7" s="12">
        <v>-73</v>
      </c>
    </row>
    <row r="8" spans="1:15" x14ac:dyDescent="0.25">
      <c r="A8" s="9">
        <v>20000</v>
      </c>
      <c r="B8" t="s">
        <v>187</v>
      </c>
      <c r="C8" t="s">
        <v>5</v>
      </c>
      <c r="D8" s="10">
        <v>0</v>
      </c>
      <c r="E8" s="10">
        <v>0</v>
      </c>
      <c r="F8" s="10" t="s">
        <v>337</v>
      </c>
      <c r="G8" s="10">
        <v>0</v>
      </c>
      <c r="H8" s="10">
        <v>0</v>
      </c>
      <c r="I8" s="10"/>
      <c r="J8" s="10">
        <v>0</v>
      </c>
      <c r="K8" s="10">
        <v>0</v>
      </c>
      <c r="L8" s="11">
        <v>0</v>
      </c>
      <c r="M8" s="11">
        <v>0</v>
      </c>
      <c r="N8" s="12">
        <v>0</v>
      </c>
      <c r="O8" s="12">
        <v>0</v>
      </c>
    </row>
    <row r="9" spans="1:15" x14ac:dyDescent="0.25">
      <c r="A9" s="9">
        <v>22061</v>
      </c>
      <c r="B9" t="s">
        <v>188</v>
      </c>
      <c r="C9" t="s">
        <v>6</v>
      </c>
      <c r="D9" s="10">
        <v>40</v>
      </c>
      <c r="E9" s="10">
        <v>45</v>
      </c>
      <c r="F9" s="10">
        <v>0</v>
      </c>
      <c r="G9" s="10">
        <v>100</v>
      </c>
      <c r="H9" s="10">
        <v>51</v>
      </c>
      <c r="I9" s="10"/>
      <c r="J9" s="10">
        <v>196</v>
      </c>
      <c r="K9" s="10">
        <v>236</v>
      </c>
      <c r="L9" s="11">
        <v>0.98266999999999993</v>
      </c>
      <c r="M9" s="11">
        <v>231.91011999999998</v>
      </c>
      <c r="N9" s="12">
        <v>1500</v>
      </c>
      <c r="O9" s="12">
        <v>1264</v>
      </c>
    </row>
    <row r="10" spans="1:15" x14ac:dyDescent="0.25">
      <c r="A10" s="9">
        <v>22081</v>
      </c>
      <c r="B10" t="s">
        <v>189</v>
      </c>
      <c r="C10" t="s">
        <v>7</v>
      </c>
      <c r="D10" s="10">
        <v>190</v>
      </c>
      <c r="E10" s="10">
        <v>56</v>
      </c>
      <c r="F10" s="10">
        <v>0</v>
      </c>
      <c r="G10" s="10">
        <v>92</v>
      </c>
      <c r="H10" s="10">
        <v>97</v>
      </c>
      <c r="I10" s="10"/>
      <c r="J10" s="10">
        <v>245</v>
      </c>
      <c r="K10" s="10">
        <v>435</v>
      </c>
      <c r="L10" s="11">
        <v>0.98266999999999993</v>
      </c>
      <c r="M10" s="11">
        <v>427.46144999999996</v>
      </c>
      <c r="N10" s="12">
        <v>1500</v>
      </c>
      <c r="O10" s="12">
        <v>1065</v>
      </c>
    </row>
    <row r="11" spans="1:15" x14ac:dyDescent="0.25">
      <c r="A11" s="9">
        <v>23061</v>
      </c>
      <c r="B11" t="s">
        <v>190</v>
      </c>
      <c r="C11" t="s">
        <v>8</v>
      </c>
      <c r="D11" s="10" t="s">
        <v>337</v>
      </c>
      <c r="E11" s="10">
        <v>26</v>
      </c>
      <c r="F11" s="10">
        <v>0</v>
      </c>
      <c r="G11" s="10">
        <v>0</v>
      </c>
      <c r="H11" s="10">
        <v>0</v>
      </c>
      <c r="I11" s="10"/>
      <c r="J11" s="10">
        <v>26</v>
      </c>
      <c r="K11" s="10">
        <v>26</v>
      </c>
      <c r="L11" s="11">
        <v>2.5499999999999998</v>
      </c>
      <c r="M11" s="11">
        <v>66.3</v>
      </c>
      <c r="N11" s="12">
        <v>1000</v>
      </c>
      <c r="O11" s="12">
        <v>974</v>
      </c>
    </row>
    <row r="12" spans="1:15" x14ac:dyDescent="0.25">
      <c r="A12" s="9">
        <v>23081</v>
      </c>
      <c r="B12" t="s">
        <v>191</v>
      </c>
      <c r="C12" t="s">
        <v>9</v>
      </c>
      <c r="D12" s="10" t="s">
        <v>337</v>
      </c>
      <c r="E12" s="10">
        <v>43</v>
      </c>
      <c r="F12" s="10">
        <v>0</v>
      </c>
      <c r="G12" s="10">
        <v>0</v>
      </c>
      <c r="H12" s="10">
        <v>0</v>
      </c>
      <c r="I12" s="10"/>
      <c r="J12" s="10">
        <v>43</v>
      </c>
      <c r="K12" s="10">
        <v>43</v>
      </c>
      <c r="L12" s="11">
        <v>2.5499999999999998</v>
      </c>
      <c r="M12" s="11">
        <v>109.64999999999999</v>
      </c>
      <c r="N12" s="12">
        <v>1000</v>
      </c>
      <c r="O12" s="12">
        <v>957</v>
      </c>
    </row>
    <row r="13" spans="1:15" x14ac:dyDescent="0.25">
      <c r="A13" s="9">
        <v>23082</v>
      </c>
      <c r="B13" t="s">
        <v>192</v>
      </c>
      <c r="C13" t="s">
        <v>10</v>
      </c>
      <c r="D13" s="10">
        <v>95</v>
      </c>
      <c r="E13" s="10">
        <v>27</v>
      </c>
      <c r="F13" s="10">
        <v>0</v>
      </c>
      <c r="G13" s="10">
        <v>245</v>
      </c>
      <c r="H13" s="10">
        <v>42</v>
      </c>
      <c r="I13" s="10"/>
      <c r="J13" s="10">
        <v>314</v>
      </c>
      <c r="K13" s="10">
        <v>409</v>
      </c>
      <c r="L13" s="11">
        <v>0.98266999999999993</v>
      </c>
      <c r="M13" s="11">
        <v>401.91202999999996</v>
      </c>
      <c r="N13" s="12">
        <v>1000</v>
      </c>
      <c r="O13" s="12">
        <v>591</v>
      </c>
    </row>
    <row r="14" spans="1:15" x14ac:dyDescent="0.25">
      <c r="A14" s="9">
        <v>23121</v>
      </c>
      <c r="B14" t="s">
        <v>193</v>
      </c>
      <c r="C14" t="s">
        <v>11</v>
      </c>
      <c r="D14" s="10">
        <v>25</v>
      </c>
      <c r="E14" s="10">
        <v>38</v>
      </c>
      <c r="F14" s="10">
        <v>0</v>
      </c>
      <c r="G14" s="10">
        <v>0</v>
      </c>
      <c r="H14" s="10">
        <v>0</v>
      </c>
      <c r="I14" s="10"/>
      <c r="J14" s="10">
        <v>38</v>
      </c>
      <c r="K14" s="10">
        <v>63</v>
      </c>
      <c r="L14" s="11">
        <v>3.78</v>
      </c>
      <c r="M14" s="11">
        <v>238.14</v>
      </c>
      <c r="N14" s="12">
        <v>1000</v>
      </c>
      <c r="O14" s="12">
        <v>937</v>
      </c>
    </row>
    <row r="15" spans="1:15" x14ac:dyDescent="0.25">
      <c r="A15" s="9">
        <v>24031</v>
      </c>
      <c r="B15" t="s">
        <v>194</v>
      </c>
      <c r="C15" t="s">
        <v>12</v>
      </c>
      <c r="D15" s="10" t="s">
        <v>337</v>
      </c>
      <c r="E15" s="10">
        <v>44</v>
      </c>
      <c r="F15" s="10">
        <v>0</v>
      </c>
      <c r="G15" s="10">
        <v>0</v>
      </c>
      <c r="H15" s="10">
        <v>0</v>
      </c>
      <c r="I15" s="10"/>
      <c r="J15" s="10">
        <v>44</v>
      </c>
      <c r="K15" s="10">
        <v>44</v>
      </c>
      <c r="L15" s="11">
        <v>3.71875</v>
      </c>
      <c r="M15" s="11">
        <v>163.625</v>
      </c>
      <c r="N15" s="12">
        <v>1000</v>
      </c>
      <c r="O15" s="12">
        <v>956</v>
      </c>
    </row>
    <row r="16" spans="1:15" x14ac:dyDescent="0.25">
      <c r="A16" s="9">
        <v>24061</v>
      </c>
      <c r="B16" t="s">
        <v>195</v>
      </c>
      <c r="C16" t="s">
        <v>13</v>
      </c>
      <c r="D16" s="10">
        <v>250</v>
      </c>
      <c r="E16" s="10">
        <v>19</v>
      </c>
      <c r="F16" s="10">
        <v>0</v>
      </c>
      <c r="G16" s="10">
        <v>0</v>
      </c>
      <c r="H16" s="10">
        <v>62</v>
      </c>
      <c r="I16" s="10"/>
      <c r="J16" s="10">
        <v>81</v>
      </c>
      <c r="K16" s="10">
        <v>331</v>
      </c>
      <c r="L16" s="11">
        <v>2.15</v>
      </c>
      <c r="M16" s="11">
        <v>711.65</v>
      </c>
      <c r="N16" s="12">
        <v>1000</v>
      </c>
      <c r="O16" s="12">
        <v>669</v>
      </c>
    </row>
    <row r="17" spans="1:15" x14ac:dyDescent="0.25">
      <c r="A17" s="9">
        <v>24081</v>
      </c>
      <c r="B17" t="s">
        <v>196</v>
      </c>
      <c r="C17" t="s">
        <v>14</v>
      </c>
      <c r="D17" s="10">
        <v>140</v>
      </c>
      <c r="E17" s="10">
        <v>18</v>
      </c>
      <c r="F17" s="10">
        <v>0</v>
      </c>
      <c r="G17" s="10">
        <v>0</v>
      </c>
      <c r="H17" s="10">
        <v>85</v>
      </c>
      <c r="I17" s="10"/>
      <c r="J17" s="10">
        <v>103</v>
      </c>
      <c r="K17" s="10">
        <v>243</v>
      </c>
      <c r="L17" s="11">
        <v>0</v>
      </c>
      <c r="M17" s="11">
        <v>0</v>
      </c>
      <c r="N17" s="12">
        <v>0</v>
      </c>
      <c r="O17" s="12">
        <v>-243</v>
      </c>
    </row>
    <row r="18" spans="1:15" x14ac:dyDescent="0.25">
      <c r="A18" s="9">
        <v>24082</v>
      </c>
      <c r="B18" t="s">
        <v>197</v>
      </c>
      <c r="C18" t="s">
        <v>15</v>
      </c>
      <c r="D18" s="10">
        <v>25</v>
      </c>
      <c r="E18" s="10">
        <v>16</v>
      </c>
      <c r="F18" s="10">
        <v>0</v>
      </c>
      <c r="G18" s="10">
        <v>0</v>
      </c>
      <c r="H18" s="10">
        <v>0</v>
      </c>
      <c r="I18" s="10"/>
      <c r="J18" s="10">
        <v>16</v>
      </c>
      <c r="K18" s="10">
        <v>41</v>
      </c>
      <c r="L18" s="11">
        <v>0</v>
      </c>
      <c r="M18" s="11">
        <v>0</v>
      </c>
      <c r="N18" s="12">
        <v>0</v>
      </c>
      <c r="O18" s="12">
        <v>-41</v>
      </c>
    </row>
    <row r="19" spans="1:15" x14ac:dyDescent="0.25">
      <c r="A19" s="9">
        <v>24121</v>
      </c>
      <c r="B19" t="s">
        <v>198</v>
      </c>
      <c r="C19" t="s">
        <v>16</v>
      </c>
      <c r="D19" s="10">
        <v>110</v>
      </c>
      <c r="E19" s="10">
        <v>100</v>
      </c>
      <c r="F19" s="10">
        <v>0</v>
      </c>
      <c r="G19" s="10">
        <v>0</v>
      </c>
      <c r="H19" s="10">
        <v>0</v>
      </c>
      <c r="I19" s="10"/>
      <c r="J19" s="10">
        <v>100</v>
      </c>
      <c r="K19" s="10">
        <v>210</v>
      </c>
      <c r="L19" s="11">
        <v>0</v>
      </c>
      <c r="M19" s="11">
        <v>0</v>
      </c>
      <c r="N19" s="12">
        <v>0</v>
      </c>
      <c r="O19" s="12">
        <v>-210</v>
      </c>
    </row>
    <row r="20" spans="1:15" x14ac:dyDescent="0.25">
      <c r="A20" s="9">
        <v>24122</v>
      </c>
      <c r="B20" t="s">
        <v>199</v>
      </c>
      <c r="C20" t="s">
        <v>17</v>
      </c>
      <c r="D20" s="10">
        <v>50</v>
      </c>
      <c r="E20" s="10">
        <v>0</v>
      </c>
      <c r="F20" s="10">
        <v>0</v>
      </c>
      <c r="G20" s="10">
        <v>0</v>
      </c>
      <c r="H20" s="10">
        <v>0</v>
      </c>
      <c r="I20" s="10"/>
      <c r="J20" s="10">
        <v>0</v>
      </c>
      <c r="K20" s="10">
        <v>50</v>
      </c>
      <c r="L20" s="11">
        <v>0</v>
      </c>
      <c r="M20" s="11">
        <v>0</v>
      </c>
      <c r="N20" s="12">
        <v>0</v>
      </c>
      <c r="O20" s="12">
        <v>-50</v>
      </c>
    </row>
    <row r="21" spans="1:15" x14ac:dyDescent="0.25">
      <c r="A21" s="9">
        <v>25031</v>
      </c>
      <c r="B21" t="s">
        <v>200</v>
      </c>
      <c r="C21" t="s">
        <v>18</v>
      </c>
      <c r="D21" s="10">
        <v>265</v>
      </c>
      <c r="E21" s="10">
        <v>0</v>
      </c>
      <c r="F21" s="10">
        <v>0</v>
      </c>
      <c r="G21" s="10">
        <v>0</v>
      </c>
      <c r="H21" s="10">
        <v>0</v>
      </c>
      <c r="I21" s="10"/>
      <c r="J21" s="10">
        <v>0</v>
      </c>
      <c r="K21" s="10">
        <v>265</v>
      </c>
      <c r="L21" s="11">
        <v>0</v>
      </c>
      <c r="M21" s="11">
        <v>0</v>
      </c>
      <c r="N21" s="12">
        <v>0</v>
      </c>
      <c r="O21" s="12">
        <v>-265</v>
      </c>
    </row>
    <row r="22" spans="1:15" x14ac:dyDescent="0.25">
      <c r="A22" s="9">
        <v>25061</v>
      </c>
      <c r="B22" t="s">
        <v>201</v>
      </c>
      <c r="C22" t="s">
        <v>19</v>
      </c>
      <c r="D22" s="10">
        <v>170</v>
      </c>
      <c r="E22" s="10">
        <v>0</v>
      </c>
      <c r="F22" s="10">
        <v>250</v>
      </c>
      <c r="G22" s="10">
        <v>0</v>
      </c>
      <c r="H22" s="10">
        <v>0</v>
      </c>
      <c r="I22" s="10"/>
      <c r="J22" s="10">
        <v>250</v>
      </c>
      <c r="K22" s="10">
        <v>420</v>
      </c>
      <c r="L22" s="11">
        <v>0</v>
      </c>
      <c r="M22" s="11">
        <v>0</v>
      </c>
      <c r="N22" s="12">
        <v>0</v>
      </c>
      <c r="O22" s="12">
        <v>-420</v>
      </c>
    </row>
    <row r="23" spans="1:15" x14ac:dyDescent="0.25">
      <c r="A23" s="9">
        <v>25081</v>
      </c>
      <c r="B23" t="s">
        <v>202</v>
      </c>
      <c r="C23" t="s">
        <v>20</v>
      </c>
      <c r="D23" s="10">
        <v>170</v>
      </c>
      <c r="E23" s="10">
        <v>0</v>
      </c>
      <c r="F23" s="10">
        <v>425</v>
      </c>
      <c r="G23" s="10">
        <v>0</v>
      </c>
      <c r="H23" s="10">
        <v>0</v>
      </c>
      <c r="I23" s="10"/>
      <c r="J23" s="10">
        <v>425</v>
      </c>
      <c r="K23" s="10">
        <v>595</v>
      </c>
      <c r="L23" s="11">
        <v>0</v>
      </c>
      <c r="M23" s="11">
        <v>0</v>
      </c>
      <c r="N23" s="12">
        <v>0</v>
      </c>
      <c r="O23" s="12">
        <v>-595</v>
      </c>
    </row>
    <row r="24" spans="1:15" x14ac:dyDescent="0.25">
      <c r="A24" s="9">
        <v>25082</v>
      </c>
      <c r="B24" t="s">
        <v>203</v>
      </c>
      <c r="C24" t="s">
        <v>21</v>
      </c>
      <c r="D24" s="10">
        <v>300</v>
      </c>
      <c r="E24" s="10">
        <v>0</v>
      </c>
      <c r="F24" s="10">
        <v>0</v>
      </c>
      <c r="G24" s="10">
        <v>0</v>
      </c>
      <c r="H24" s="10">
        <v>0</v>
      </c>
      <c r="I24" s="10"/>
      <c r="J24" s="10">
        <v>0</v>
      </c>
      <c r="K24" s="10">
        <v>300</v>
      </c>
      <c r="L24" s="11">
        <v>0</v>
      </c>
      <c r="M24" s="11">
        <v>0</v>
      </c>
      <c r="N24" s="12">
        <v>0</v>
      </c>
      <c r="O24" s="12">
        <v>-300</v>
      </c>
    </row>
    <row r="25" spans="1:15" x14ac:dyDescent="0.25">
      <c r="A25" s="9">
        <v>25091</v>
      </c>
      <c r="B25" t="s">
        <v>204</v>
      </c>
      <c r="C25" t="s">
        <v>22</v>
      </c>
      <c r="D25" s="10">
        <v>160</v>
      </c>
      <c r="E25" s="10">
        <v>0</v>
      </c>
      <c r="F25" s="10">
        <v>25</v>
      </c>
      <c r="G25" s="10">
        <v>0</v>
      </c>
      <c r="H25" s="10">
        <v>0</v>
      </c>
      <c r="I25" s="10"/>
      <c r="J25" s="10">
        <v>25</v>
      </c>
      <c r="K25" s="10">
        <v>185</v>
      </c>
      <c r="L25" s="11">
        <v>0</v>
      </c>
      <c r="M25" s="11">
        <v>0</v>
      </c>
      <c r="N25" s="12">
        <v>0</v>
      </c>
      <c r="O25" s="12">
        <v>-185</v>
      </c>
    </row>
    <row r="26" spans="1:15" x14ac:dyDescent="0.25">
      <c r="A26" s="9">
        <v>25091</v>
      </c>
      <c r="B26" t="s">
        <v>205</v>
      </c>
      <c r="C26" t="s">
        <v>24</v>
      </c>
      <c r="D26" s="10" t="s">
        <v>337</v>
      </c>
      <c r="E26" s="10">
        <v>0</v>
      </c>
      <c r="F26" s="10">
        <v>65</v>
      </c>
      <c r="G26" s="10">
        <v>0</v>
      </c>
      <c r="H26" s="10">
        <v>0</v>
      </c>
      <c r="I26" s="10"/>
      <c r="J26" s="10">
        <v>65</v>
      </c>
      <c r="K26" s="10">
        <v>65</v>
      </c>
      <c r="L26" s="11">
        <v>0</v>
      </c>
      <c r="M26" s="11">
        <v>0</v>
      </c>
      <c r="N26" s="12">
        <v>0</v>
      </c>
      <c r="O26" s="12">
        <v>-65</v>
      </c>
    </row>
    <row r="27" spans="1:15" x14ac:dyDescent="0.25">
      <c r="A27" s="9">
        <v>25121</v>
      </c>
      <c r="B27" t="s">
        <v>206</v>
      </c>
      <c r="C27" t="s">
        <v>23</v>
      </c>
      <c r="D27" s="10" t="s">
        <v>337</v>
      </c>
      <c r="E27" s="10">
        <v>0</v>
      </c>
      <c r="F27" s="10">
        <v>70</v>
      </c>
      <c r="G27" s="10">
        <v>0</v>
      </c>
      <c r="H27" s="10">
        <v>0</v>
      </c>
      <c r="I27" s="10"/>
      <c r="J27" s="10">
        <v>70</v>
      </c>
      <c r="K27" s="10">
        <v>70</v>
      </c>
      <c r="L27" s="11">
        <v>0</v>
      </c>
      <c r="M27" s="11">
        <v>0</v>
      </c>
      <c r="N27" s="12">
        <v>0</v>
      </c>
      <c r="O27" s="12">
        <v>-70</v>
      </c>
    </row>
    <row r="28" spans="1:15" x14ac:dyDescent="0.25">
      <c r="A28" s="9">
        <v>26031</v>
      </c>
      <c r="B28" t="s">
        <v>207</v>
      </c>
      <c r="C28" t="s">
        <v>25</v>
      </c>
      <c r="D28" s="10" t="s">
        <v>337</v>
      </c>
      <c r="E28" s="10">
        <v>0</v>
      </c>
      <c r="F28" s="10">
        <v>270</v>
      </c>
      <c r="G28" s="10">
        <v>0</v>
      </c>
      <c r="H28" s="10">
        <v>0</v>
      </c>
      <c r="I28" s="10"/>
      <c r="J28" s="10">
        <v>270</v>
      </c>
      <c r="K28" s="10">
        <v>270</v>
      </c>
      <c r="L28" s="11">
        <v>0</v>
      </c>
      <c r="M28" s="11">
        <v>0</v>
      </c>
      <c r="N28" s="12">
        <v>0</v>
      </c>
      <c r="O28" s="12">
        <v>-270</v>
      </c>
    </row>
    <row r="29" spans="1:15" x14ac:dyDescent="0.25">
      <c r="A29" s="9">
        <v>29010.1</v>
      </c>
      <c r="B29" t="s">
        <v>208</v>
      </c>
      <c r="C29" t="s">
        <v>26</v>
      </c>
      <c r="D29" s="10" t="s">
        <v>337</v>
      </c>
      <c r="E29" s="10">
        <v>0</v>
      </c>
      <c r="F29" s="10">
        <v>0</v>
      </c>
      <c r="G29" s="10">
        <v>0</v>
      </c>
      <c r="H29" s="10">
        <v>0</v>
      </c>
      <c r="I29" s="10"/>
      <c r="J29" s="10">
        <v>0</v>
      </c>
      <c r="K29" s="10">
        <v>0</v>
      </c>
      <c r="L29" s="11">
        <v>0</v>
      </c>
      <c r="M29" s="11">
        <v>0</v>
      </c>
      <c r="N29" s="12">
        <v>0</v>
      </c>
      <c r="O29" s="12">
        <v>0</v>
      </c>
    </row>
    <row r="30" spans="1:15" x14ac:dyDescent="0.25">
      <c r="A30" s="9">
        <v>29011</v>
      </c>
      <c r="B30" t="s">
        <v>209</v>
      </c>
      <c r="C30" t="s">
        <v>27</v>
      </c>
      <c r="D30" s="10">
        <v>110</v>
      </c>
      <c r="E30" s="10">
        <v>0</v>
      </c>
      <c r="F30" s="10">
        <v>256</v>
      </c>
      <c r="G30" s="10">
        <v>0</v>
      </c>
      <c r="H30" s="10">
        <v>0</v>
      </c>
      <c r="I30" s="10"/>
      <c r="J30" s="10">
        <v>256</v>
      </c>
      <c r="K30" s="10">
        <v>366</v>
      </c>
      <c r="L30" s="11">
        <v>0</v>
      </c>
      <c r="M30" s="11">
        <v>0</v>
      </c>
      <c r="N30" s="12">
        <v>0</v>
      </c>
      <c r="O30" s="12">
        <v>-366</v>
      </c>
    </row>
    <row r="31" spans="1:15" x14ac:dyDescent="0.25">
      <c r="A31" s="9">
        <v>29020</v>
      </c>
      <c r="B31" t="s">
        <v>210</v>
      </c>
      <c r="C31" t="s">
        <v>28</v>
      </c>
      <c r="D31" s="10" t="s">
        <v>337</v>
      </c>
      <c r="E31" s="10">
        <v>48</v>
      </c>
      <c r="F31" s="10">
        <v>0</v>
      </c>
      <c r="G31" s="10">
        <v>0</v>
      </c>
      <c r="H31" s="10">
        <v>0</v>
      </c>
      <c r="I31" s="10"/>
      <c r="J31" s="10">
        <v>48</v>
      </c>
      <c r="K31" s="10">
        <v>48</v>
      </c>
      <c r="L31" s="11">
        <v>0</v>
      </c>
      <c r="M31" s="11">
        <v>0</v>
      </c>
      <c r="N31" s="12">
        <v>0</v>
      </c>
      <c r="O31" s="12">
        <v>-48</v>
      </c>
    </row>
    <row r="32" spans="1:15" x14ac:dyDescent="0.25">
      <c r="A32" s="9">
        <v>30000</v>
      </c>
      <c r="B32" t="s">
        <v>211</v>
      </c>
      <c r="C32" t="s">
        <v>29</v>
      </c>
      <c r="D32" s="10">
        <v>0</v>
      </c>
      <c r="E32" s="10">
        <v>0</v>
      </c>
      <c r="F32" s="10" t="s">
        <v>337</v>
      </c>
      <c r="G32" s="10">
        <v>0</v>
      </c>
      <c r="H32" s="10">
        <v>0</v>
      </c>
      <c r="I32" s="10"/>
      <c r="J32" s="10">
        <v>0</v>
      </c>
      <c r="K32" s="10">
        <v>0</v>
      </c>
      <c r="L32" s="11">
        <v>0</v>
      </c>
      <c r="M32" s="11">
        <v>0</v>
      </c>
      <c r="N32" s="12">
        <v>0</v>
      </c>
      <c r="O32" s="12">
        <v>0</v>
      </c>
    </row>
    <row r="33" spans="1:15" x14ac:dyDescent="0.25">
      <c r="A33" s="9">
        <v>30100.1</v>
      </c>
      <c r="B33" t="s">
        <v>212</v>
      </c>
      <c r="C33" t="s">
        <v>1</v>
      </c>
      <c r="D33" s="10" t="s">
        <v>337</v>
      </c>
      <c r="E33" s="10">
        <v>0</v>
      </c>
      <c r="F33" s="10">
        <v>0</v>
      </c>
      <c r="G33" s="10">
        <v>0</v>
      </c>
      <c r="H33" s="10">
        <v>0</v>
      </c>
      <c r="I33" s="10"/>
      <c r="J33" s="10">
        <v>0</v>
      </c>
      <c r="K33" s="10">
        <v>0</v>
      </c>
      <c r="L33" s="11">
        <v>0</v>
      </c>
      <c r="M33" s="11">
        <v>0</v>
      </c>
      <c r="N33" s="12">
        <v>0</v>
      </c>
      <c r="O33" s="12">
        <v>0</v>
      </c>
    </row>
    <row r="34" spans="1:15" x14ac:dyDescent="0.25">
      <c r="A34" s="9">
        <v>30110.1</v>
      </c>
      <c r="B34" t="s">
        <v>213</v>
      </c>
      <c r="C34" t="s">
        <v>2</v>
      </c>
      <c r="D34" s="10" t="s">
        <v>337</v>
      </c>
      <c r="E34" s="10">
        <v>0</v>
      </c>
      <c r="F34" s="10">
        <v>0</v>
      </c>
      <c r="G34" s="10">
        <v>0</v>
      </c>
      <c r="H34" s="10">
        <v>0</v>
      </c>
      <c r="I34" s="10"/>
      <c r="J34" s="10">
        <v>0</v>
      </c>
      <c r="K34" s="10">
        <v>0</v>
      </c>
      <c r="L34" s="11">
        <v>0</v>
      </c>
      <c r="M34" s="11">
        <v>0</v>
      </c>
      <c r="N34" s="12">
        <v>0</v>
      </c>
      <c r="O34" s="12">
        <v>0</v>
      </c>
    </row>
    <row r="35" spans="1:15" x14ac:dyDescent="0.25">
      <c r="A35" s="9">
        <v>30200</v>
      </c>
      <c r="B35" t="s">
        <v>214</v>
      </c>
      <c r="C35" t="s">
        <v>30</v>
      </c>
      <c r="D35" s="10">
        <v>3100</v>
      </c>
      <c r="E35" s="10">
        <v>165</v>
      </c>
      <c r="F35" s="10">
        <v>292</v>
      </c>
      <c r="G35" s="10">
        <v>227</v>
      </c>
      <c r="H35" s="10">
        <v>69</v>
      </c>
      <c r="I35" s="10"/>
      <c r="J35" s="10">
        <v>753</v>
      </c>
      <c r="K35" s="10">
        <v>3853</v>
      </c>
      <c r="L35" s="11">
        <v>0.25833333333333336</v>
      </c>
      <c r="M35" s="11">
        <v>995.35833333333346</v>
      </c>
      <c r="N35" s="12">
        <v>1200</v>
      </c>
      <c r="O35" s="12">
        <v>-2653</v>
      </c>
    </row>
    <row r="36" spans="1:15" x14ac:dyDescent="0.25">
      <c r="A36" s="9">
        <v>30210</v>
      </c>
      <c r="B36" t="s">
        <v>215</v>
      </c>
      <c r="C36" t="s">
        <v>31</v>
      </c>
      <c r="D36" s="10">
        <v>2250</v>
      </c>
      <c r="E36" s="10">
        <v>85</v>
      </c>
      <c r="F36" s="10">
        <v>0</v>
      </c>
      <c r="G36" s="10">
        <v>500</v>
      </c>
      <c r="H36" s="10">
        <v>82</v>
      </c>
      <c r="I36" s="10"/>
      <c r="J36" s="10">
        <v>667</v>
      </c>
      <c r="K36" s="10">
        <v>2917</v>
      </c>
      <c r="L36" s="11">
        <v>0.26363636363636361</v>
      </c>
      <c r="M36" s="11">
        <v>769.0272727272727</v>
      </c>
      <c r="N36" s="12">
        <v>2200</v>
      </c>
      <c r="O36" s="12">
        <v>-717</v>
      </c>
    </row>
    <row r="37" spans="1:15" x14ac:dyDescent="0.25">
      <c r="A37" s="9">
        <v>40000</v>
      </c>
      <c r="B37" t="s">
        <v>216</v>
      </c>
      <c r="C37" t="s">
        <v>32</v>
      </c>
      <c r="D37" s="10" t="s">
        <v>337</v>
      </c>
      <c r="E37" s="10">
        <v>0</v>
      </c>
      <c r="F37" s="10" t="s">
        <v>337</v>
      </c>
      <c r="G37" s="10">
        <v>0</v>
      </c>
      <c r="H37" s="10">
        <v>0</v>
      </c>
      <c r="I37" s="10"/>
      <c r="J37" s="10">
        <v>0</v>
      </c>
      <c r="K37" s="10">
        <v>0</v>
      </c>
      <c r="L37" s="11">
        <v>0</v>
      </c>
      <c r="M37" s="11">
        <v>0</v>
      </c>
      <c r="N37" s="12">
        <v>0</v>
      </c>
      <c r="O37" s="12">
        <v>0</v>
      </c>
    </row>
    <row r="38" spans="1:15" x14ac:dyDescent="0.25">
      <c r="A38" s="9">
        <v>40100.1</v>
      </c>
      <c r="B38" t="s">
        <v>217</v>
      </c>
      <c r="C38" t="s">
        <v>33</v>
      </c>
      <c r="D38" s="10" t="s">
        <v>337</v>
      </c>
      <c r="E38" s="10">
        <v>15</v>
      </c>
      <c r="F38" s="10">
        <v>0</v>
      </c>
      <c r="G38" s="10">
        <v>46</v>
      </c>
      <c r="H38" s="10">
        <v>36</v>
      </c>
      <c r="I38" s="10"/>
      <c r="J38" s="10">
        <v>97</v>
      </c>
      <c r="K38" s="10">
        <v>97</v>
      </c>
      <c r="L38" s="11">
        <v>0</v>
      </c>
      <c r="M38" s="11">
        <v>0</v>
      </c>
      <c r="N38" s="12">
        <v>0</v>
      </c>
      <c r="O38" s="12">
        <v>-97</v>
      </c>
    </row>
    <row r="39" spans="1:15" x14ac:dyDescent="0.25">
      <c r="A39" s="9">
        <v>41000</v>
      </c>
      <c r="B39" t="s">
        <v>218</v>
      </c>
      <c r="C39" t="s">
        <v>34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/>
      <c r="J39" s="10">
        <v>0</v>
      </c>
      <c r="K39" s="10">
        <v>0</v>
      </c>
      <c r="L39" s="11">
        <v>0</v>
      </c>
      <c r="M39" s="11">
        <v>0</v>
      </c>
      <c r="N39" s="12">
        <v>0</v>
      </c>
      <c r="O39" s="12">
        <v>0</v>
      </c>
    </row>
    <row r="40" spans="1:15" x14ac:dyDescent="0.25">
      <c r="A40" s="9">
        <v>41100</v>
      </c>
      <c r="B40" t="s">
        <v>219</v>
      </c>
      <c r="C40" t="s">
        <v>35</v>
      </c>
      <c r="D40" s="10">
        <v>786</v>
      </c>
      <c r="E40" s="10">
        <v>0</v>
      </c>
      <c r="F40" s="10">
        <v>780</v>
      </c>
      <c r="G40" s="10">
        <v>0</v>
      </c>
      <c r="H40" s="10">
        <v>0</v>
      </c>
      <c r="I40" s="10"/>
      <c r="J40" s="10">
        <v>780</v>
      </c>
      <c r="K40" s="10">
        <v>1566</v>
      </c>
      <c r="L40" s="11">
        <v>0</v>
      </c>
      <c r="M40" s="11">
        <v>0</v>
      </c>
      <c r="N40" s="12">
        <v>0</v>
      </c>
      <c r="O40" s="12">
        <v>-1566</v>
      </c>
    </row>
    <row r="41" spans="1:15" x14ac:dyDescent="0.25">
      <c r="A41" s="9">
        <v>42000</v>
      </c>
      <c r="B41" t="s">
        <v>220</v>
      </c>
      <c r="C41" t="s">
        <v>36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/>
      <c r="J41" s="10">
        <v>0</v>
      </c>
      <c r="K41" s="10">
        <v>0</v>
      </c>
      <c r="L41" s="11">
        <v>0</v>
      </c>
      <c r="M41" s="11">
        <v>0</v>
      </c>
      <c r="N41" s="12">
        <v>0</v>
      </c>
      <c r="O41" s="12">
        <v>0</v>
      </c>
    </row>
    <row r="42" spans="1:15" x14ac:dyDescent="0.25">
      <c r="A42" s="9">
        <v>42026</v>
      </c>
      <c r="B42" t="s">
        <v>221</v>
      </c>
      <c r="C42" t="s">
        <v>37</v>
      </c>
      <c r="D42" s="10">
        <v>109</v>
      </c>
      <c r="E42" s="10">
        <v>0</v>
      </c>
      <c r="F42" s="10">
        <v>6</v>
      </c>
      <c r="G42" s="10">
        <v>0</v>
      </c>
      <c r="H42" s="10">
        <v>0</v>
      </c>
      <c r="I42" s="10"/>
      <c r="J42" s="10">
        <v>6</v>
      </c>
      <c r="K42" s="10">
        <v>115</v>
      </c>
      <c r="L42" s="11">
        <v>0</v>
      </c>
      <c r="M42" s="11">
        <v>0</v>
      </c>
      <c r="N42" s="12">
        <v>0</v>
      </c>
      <c r="O42" s="12">
        <v>-115</v>
      </c>
    </row>
    <row r="43" spans="1:15" x14ac:dyDescent="0.25">
      <c r="A43" s="9">
        <v>50000</v>
      </c>
      <c r="B43" t="s">
        <v>222</v>
      </c>
      <c r="C43" t="s">
        <v>38</v>
      </c>
      <c r="D43" s="10">
        <v>0</v>
      </c>
      <c r="E43" s="10">
        <v>0</v>
      </c>
      <c r="F43" s="10" t="s">
        <v>337</v>
      </c>
      <c r="G43" s="10">
        <v>0</v>
      </c>
      <c r="H43" s="10">
        <v>0</v>
      </c>
      <c r="I43" s="10"/>
      <c r="J43" s="10">
        <v>0</v>
      </c>
      <c r="K43" s="10">
        <v>0</v>
      </c>
      <c r="L43" s="11">
        <v>0</v>
      </c>
      <c r="M43" s="11">
        <v>0</v>
      </c>
      <c r="N43" s="12">
        <v>0</v>
      </c>
      <c r="O43" s="12">
        <v>0</v>
      </c>
    </row>
    <row r="44" spans="1:15" x14ac:dyDescent="0.25">
      <c r="A44" s="9">
        <v>50100</v>
      </c>
      <c r="B44" t="s">
        <v>223</v>
      </c>
      <c r="C44" t="s">
        <v>39</v>
      </c>
      <c r="D44" s="10">
        <v>56</v>
      </c>
      <c r="E44" s="10">
        <v>4</v>
      </c>
      <c r="F44" s="10">
        <v>0</v>
      </c>
      <c r="G44" s="10">
        <v>0</v>
      </c>
      <c r="H44" s="10">
        <v>9</v>
      </c>
      <c r="I44" s="10"/>
      <c r="J44" s="10">
        <v>13</v>
      </c>
      <c r="K44" s="10">
        <v>69</v>
      </c>
      <c r="L44" s="11">
        <v>0</v>
      </c>
      <c r="M44" s="11">
        <v>0</v>
      </c>
      <c r="N44" s="12">
        <v>0</v>
      </c>
      <c r="O44" s="12">
        <v>-69</v>
      </c>
    </row>
    <row r="45" spans="1:15" x14ac:dyDescent="0.25">
      <c r="A45" s="9">
        <v>50200</v>
      </c>
      <c r="B45" t="s">
        <v>224</v>
      </c>
      <c r="C45" t="s">
        <v>40</v>
      </c>
      <c r="D45" s="10">
        <v>56</v>
      </c>
      <c r="E45" s="10">
        <v>4</v>
      </c>
      <c r="F45" s="10">
        <v>0</v>
      </c>
      <c r="G45" s="10">
        <v>0</v>
      </c>
      <c r="H45" s="10">
        <v>9</v>
      </c>
      <c r="I45" s="10"/>
      <c r="J45" s="10">
        <v>13</v>
      </c>
      <c r="K45" s="10">
        <v>69</v>
      </c>
      <c r="L45" s="11">
        <v>2.1</v>
      </c>
      <c r="M45" s="11">
        <v>144.9</v>
      </c>
      <c r="N45" s="12">
        <v>100</v>
      </c>
      <c r="O45" s="12">
        <v>31</v>
      </c>
    </row>
    <row r="46" spans="1:15" x14ac:dyDescent="0.25">
      <c r="A46" s="9">
        <v>50900</v>
      </c>
      <c r="B46" t="s">
        <v>225</v>
      </c>
      <c r="C46" t="s">
        <v>41</v>
      </c>
      <c r="D46" s="10">
        <v>0</v>
      </c>
      <c r="E46" s="10">
        <v>0</v>
      </c>
      <c r="F46" s="10" t="s">
        <v>337</v>
      </c>
      <c r="G46" s="10">
        <v>0</v>
      </c>
      <c r="H46" s="10">
        <v>0</v>
      </c>
      <c r="I46" s="10"/>
      <c r="J46" s="10">
        <v>0</v>
      </c>
      <c r="K46" s="10">
        <v>0</v>
      </c>
      <c r="L46" s="11">
        <v>0</v>
      </c>
      <c r="M46" s="11">
        <v>0</v>
      </c>
      <c r="N46" s="12">
        <v>0</v>
      </c>
      <c r="O46" s="12">
        <v>0</v>
      </c>
    </row>
    <row r="47" spans="1:15" x14ac:dyDescent="0.25">
      <c r="A47" s="9">
        <v>52000</v>
      </c>
      <c r="B47" t="s">
        <v>226</v>
      </c>
      <c r="C47" t="s">
        <v>42</v>
      </c>
      <c r="D47" s="10">
        <v>0</v>
      </c>
      <c r="E47" s="10">
        <v>0</v>
      </c>
      <c r="F47" s="10" t="s">
        <v>337</v>
      </c>
      <c r="G47" s="10">
        <v>0</v>
      </c>
      <c r="H47" s="10">
        <v>0</v>
      </c>
      <c r="I47" s="10"/>
      <c r="J47" s="10">
        <v>0</v>
      </c>
      <c r="K47" s="10">
        <v>0</v>
      </c>
      <c r="L47" s="11">
        <v>0</v>
      </c>
      <c r="M47" s="11">
        <v>0</v>
      </c>
      <c r="N47" s="12">
        <v>0</v>
      </c>
      <c r="O47" s="12">
        <v>0</v>
      </c>
    </row>
    <row r="48" spans="1:15" x14ac:dyDescent="0.25">
      <c r="A48" s="9">
        <v>52100</v>
      </c>
      <c r="B48" t="s">
        <v>227</v>
      </c>
      <c r="C48" t="s">
        <v>43</v>
      </c>
      <c r="D48" s="10">
        <v>5500</v>
      </c>
      <c r="E48" s="10">
        <v>400</v>
      </c>
      <c r="F48" s="10">
        <v>0</v>
      </c>
      <c r="G48" s="10">
        <v>139</v>
      </c>
      <c r="H48" s="10">
        <v>0</v>
      </c>
      <c r="I48" s="10"/>
      <c r="J48" s="10">
        <v>539</v>
      </c>
      <c r="K48" s="10">
        <v>6039</v>
      </c>
      <c r="L48" s="11">
        <v>0.12622800000000001</v>
      </c>
      <c r="M48" s="11">
        <v>762.29089199999999</v>
      </c>
      <c r="N48" s="12">
        <v>8000</v>
      </c>
      <c r="O48" s="12">
        <v>1961</v>
      </c>
    </row>
    <row r="49" spans="1:15" x14ac:dyDescent="0.25">
      <c r="A49" s="9">
        <v>52110</v>
      </c>
      <c r="B49" t="s">
        <v>228</v>
      </c>
      <c r="C49" t="s">
        <v>44</v>
      </c>
      <c r="D49" s="10">
        <v>800</v>
      </c>
      <c r="E49" s="10">
        <v>0</v>
      </c>
      <c r="F49" s="10" t="s">
        <v>337</v>
      </c>
      <c r="G49" s="10">
        <v>86</v>
      </c>
      <c r="H49" s="10">
        <v>0</v>
      </c>
      <c r="I49" s="10"/>
      <c r="J49" s="10">
        <v>86</v>
      </c>
      <c r="K49" s="10">
        <v>886</v>
      </c>
      <c r="L49" s="11">
        <v>0.10416</v>
      </c>
      <c r="M49" s="11">
        <v>92.285759999999996</v>
      </c>
      <c r="N49" s="12">
        <v>1000</v>
      </c>
      <c r="O49" s="12">
        <v>114</v>
      </c>
    </row>
    <row r="50" spans="1:15" x14ac:dyDescent="0.25">
      <c r="A50" s="9">
        <v>52120</v>
      </c>
      <c r="B50" t="s">
        <v>229</v>
      </c>
      <c r="C50" t="s">
        <v>45</v>
      </c>
      <c r="D50" s="10">
        <v>1250</v>
      </c>
      <c r="E50" s="10">
        <v>0</v>
      </c>
      <c r="F50" s="10">
        <v>1250</v>
      </c>
      <c r="G50" s="10">
        <v>0</v>
      </c>
      <c r="H50" s="10">
        <v>0</v>
      </c>
      <c r="I50" s="10"/>
      <c r="J50" s="10">
        <v>1250</v>
      </c>
      <c r="K50" s="10">
        <v>2500</v>
      </c>
      <c r="L50" s="11">
        <v>0</v>
      </c>
      <c r="M50" s="11">
        <v>0</v>
      </c>
      <c r="N50" s="12">
        <v>0</v>
      </c>
      <c r="O50" s="12">
        <v>-2500</v>
      </c>
    </row>
    <row r="51" spans="1:15" x14ac:dyDescent="0.25">
      <c r="A51" s="9">
        <v>52200</v>
      </c>
      <c r="B51" t="s">
        <v>230</v>
      </c>
      <c r="C51" t="s">
        <v>46</v>
      </c>
      <c r="D51" s="10">
        <v>500</v>
      </c>
      <c r="E51" s="10">
        <v>0</v>
      </c>
      <c r="F51" s="10" t="s">
        <v>337</v>
      </c>
      <c r="G51" s="10">
        <v>113</v>
      </c>
      <c r="H51" s="10">
        <v>0</v>
      </c>
      <c r="I51" s="10"/>
      <c r="J51" s="10">
        <v>113</v>
      </c>
      <c r="K51" s="10">
        <v>613</v>
      </c>
      <c r="L51" s="11">
        <v>0</v>
      </c>
      <c r="M51" s="11">
        <v>0</v>
      </c>
      <c r="N51" s="12">
        <v>0</v>
      </c>
      <c r="O51" s="12">
        <v>-613</v>
      </c>
    </row>
    <row r="52" spans="1:15" x14ac:dyDescent="0.25">
      <c r="A52" s="9">
        <v>52210</v>
      </c>
      <c r="B52" t="s">
        <v>231</v>
      </c>
      <c r="C52" t="s">
        <v>47</v>
      </c>
      <c r="D52" s="10">
        <v>500</v>
      </c>
      <c r="E52" s="10">
        <v>0</v>
      </c>
      <c r="F52" s="10" t="s">
        <v>337</v>
      </c>
      <c r="G52" s="10">
        <v>99</v>
      </c>
      <c r="H52" s="10">
        <v>0</v>
      </c>
      <c r="I52" s="10"/>
      <c r="J52" s="10">
        <v>99</v>
      </c>
      <c r="K52" s="10">
        <v>599</v>
      </c>
      <c r="L52" s="11">
        <v>0</v>
      </c>
      <c r="M52" s="11">
        <v>0</v>
      </c>
      <c r="N52" s="12">
        <v>0</v>
      </c>
      <c r="O52" s="12">
        <v>-599</v>
      </c>
    </row>
    <row r="53" spans="1:15" x14ac:dyDescent="0.25">
      <c r="A53" s="9">
        <v>52220</v>
      </c>
      <c r="B53" t="s">
        <v>232</v>
      </c>
      <c r="C53" t="s">
        <v>48</v>
      </c>
      <c r="D53" s="10">
        <v>500</v>
      </c>
      <c r="E53" s="10">
        <v>0</v>
      </c>
      <c r="F53" s="10">
        <v>0</v>
      </c>
      <c r="G53" s="10">
        <v>124</v>
      </c>
      <c r="H53" s="10">
        <v>0</v>
      </c>
      <c r="I53" s="10"/>
      <c r="J53" s="10">
        <v>124</v>
      </c>
      <c r="K53" s="10">
        <v>624</v>
      </c>
      <c r="L53" s="11">
        <v>0</v>
      </c>
      <c r="M53" s="11">
        <v>0</v>
      </c>
      <c r="N53" s="12">
        <v>0</v>
      </c>
      <c r="O53" s="12">
        <v>-624</v>
      </c>
    </row>
    <row r="54" spans="1:15" x14ac:dyDescent="0.25">
      <c r="A54" s="9">
        <v>54000</v>
      </c>
      <c r="B54" t="s">
        <v>233</v>
      </c>
      <c r="C54" t="s">
        <v>49</v>
      </c>
      <c r="D54" s="10">
        <v>0</v>
      </c>
      <c r="E54" s="10">
        <v>0</v>
      </c>
      <c r="F54" s="10" t="s">
        <v>337</v>
      </c>
      <c r="G54" s="10">
        <v>0</v>
      </c>
      <c r="H54" s="10">
        <v>0</v>
      </c>
      <c r="I54" s="10"/>
      <c r="J54" s="10">
        <v>0</v>
      </c>
      <c r="K54" s="10">
        <v>0</v>
      </c>
      <c r="L54" s="11">
        <v>0</v>
      </c>
      <c r="M54" s="11">
        <v>0</v>
      </c>
      <c r="N54" s="12">
        <v>0</v>
      </c>
      <c r="O54" s="12">
        <v>0</v>
      </c>
    </row>
    <row r="55" spans="1:15" x14ac:dyDescent="0.25">
      <c r="A55" s="9">
        <v>54100</v>
      </c>
      <c r="B55" t="s">
        <v>234</v>
      </c>
      <c r="C55" t="s">
        <v>1</v>
      </c>
      <c r="D55" s="10">
        <v>3000</v>
      </c>
      <c r="E55" s="10">
        <v>1800</v>
      </c>
      <c r="F55" s="10">
        <v>1080</v>
      </c>
      <c r="G55" s="10">
        <v>5283</v>
      </c>
      <c r="H55" s="10">
        <v>0</v>
      </c>
      <c r="I55" s="10"/>
      <c r="J55" s="10">
        <v>8163</v>
      </c>
      <c r="K55" s="10">
        <v>11163</v>
      </c>
      <c r="L55" s="11">
        <v>9.0161333333333343E-2</v>
      </c>
      <c r="M55" s="11">
        <v>1006.4709640000001</v>
      </c>
      <c r="N55" s="12">
        <v>50000</v>
      </c>
      <c r="O55" s="12">
        <v>38837</v>
      </c>
    </row>
    <row r="56" spans="1:15" x14ac:dyDescent="0.25">
      <c r="A56" s="9">
        <v>54110</v>
      </c>
      <c r="B56" t="s">
        <v>235</v>
      </c>
      <c r="C56" t="s">
        <v>2</v>
      </c>
      <c r="D56" s="10">
        <v>3500</v>
      </c>
      <c r="E56" s="10">
        <v>1600</v>
      </c>
      <c r="F56" s="10">
        <v>1180</v>
      </c>
      <c r="G56" s="10">
        <v>4725</v>
      </c>
      <c r="H56" s="10">
        <v>0</v>
      </c>
      <c r="I56" s="10"/>
      <c r="J56" s="10">
        <v>7505</v>
      </c>
      <c r="K56" s="10">
        <v>11005</v>
      </c>
      <c r="L56" s="11">
        <v>9.0161200000000011E-2</v>
      </c>
      <c r="M56" s="11">
        <v>992.22400600000014</v>
      </c>
      <c r="N56" s="12">
        <v>46000</v>
      </c>
      <c r="O56" s="12">
        <v>34995</v>
      </c>
    </row>
    <row r="57" spans="1:15" x14ac:dyDescent="0.25">
      <c r="A57" s="9">
        <v>56000</v>
      </c>
      <c r="B57" t="s">
        <v>236</v>
      </c>
      <c r="C57" t="s">
        <v>50</v>
      </c>
      <c r="D57" s="10">
        <v>0</v>
      </c>
      <c r="E57" s="10">
        <v>0</v>
      </c>
      <c r="F57" s="10" t="s">
        <v>337</v>
      </c>
      <c r="G57" s="10">
        <v>0</v>
      </c>
      <c r="H57" s="10">
        <v>0</v>
      </c>
      <c r="I57" s="10"/>
      <c r="J57" s="10">
        <v>0</v>
      </c>
      <c r="K57" s="10">
        <v>0</v>
      </c>
      <c r="L57" s="11">
        <v>0</v>
      </c>
      <c r="M57" s="11">
        <v>0</v>
      </c>
      <c r="N57" s="12">
        <v>0</v>
      </c>
      <c r="O57" s="12">
        <v>0</v>
      </c>
    </row>
    <row r="58" spans="1:15" x14ac:dyDescent="0.25">
      <c r="A58" s="9">
        <v>56100.1</v>
      </c>
      <c r="B58" t="s">
        <v>237</v>
      </c>
      <c r="C58" t="s">
        <v>51</v>
      </c>
      <c r="D58" s="10" t="s">
        <v>337</v>
      </c>
      <c r="E58" s="10">
        <v>500</v>
      </c>
      <c r="F58" s="10">
        <v>1250</v>
      </c>
      <c r="G58" s="10">
        <v>1000</v>
      </c>
      <c r="H58" s="10">
        <v>0</v>
      </c>
      <c r="I58" s="10"/>
      <c r="J58" s="10">
        <v>2750</v>
      </c>
      <c r="K58" s="10">
        <v>2750</v>
      </c>
      <c r="L58" s="11">
        <v>0</v>
      </c>
      <c r="M58" s="11">
        <v>0</v>
      </c>
      <c r="N58" s="12">
        <v>0</v>
      </c>
      <c r="O58" s="12">
        <v>-2750</v>
      </c>
    </row>
    <row r="59" spans="1:15" x14ac:dyDescent="0.25">
      <c r="A59" s="9">
        <v>56200</v>
      </c>
      <c r="B59" t="s">
        <v>238</v>
      </c>
      <c r="C59" t="s">
        <v>52</v>
      </c>
      <c r="D59" s="10">
        <v>13300</v>
      </c>
      <c r="E59" s="10">
        <v>1200</v>
      </c>
      <c r="F59" s="10">
        <v>940</v>
      </c>
      <c r="G59" s="10">
        <v>3799</v>
      </c>
      <c r="H59" s="10">
        <v>0</v>
      </c>
      <c r="I59" s="10"/>
      <c r="J59" s="10">
        <v>5939</v>
      </c>
      <c r="K59" s="10">
        <v>19239</v>
      </c>
      <c r="L59" s="11">
        <v>9.0161333333333343E-2</v>
      </c>
      <c r="M59" s="11">
        <v>1734.6138920000003</v>
      </c>
      <c r="N59" s="12">
        <v>7500</v>
      </c>
      <c r="O59" s="12">
        <v>-11739</v>
      </c>
    </row>
    <row r="60" spans="1:15" x14ac:dyDescent="0.25">
      <c r="A60" s="9">
        <v>56300</v>
      </c>
      <c r="B60" t="s">
        <v>239</v>
      </c>
      <c r="C60" t="s">
        <v>53</v>
      </c>
      <c r="D60" s="10">
        <v>13000</v>
      </c>
      <c r="E60" s="10">
        <v>1300</v>
      </c>
      <c r="F60" s="10">
        <v>1000</v>
      </c>
      <c r="G60" s="10">
        <v>5000</v>
      </c>
      <c r="H60" s="10">
        <v>0</v>
      </c>
      <c r="I60" s="10"/>
      <c r="J60" s="10">
        <v>7300</v>
      </c>
      <c r="K60" s="10">
        <v>20300</v>
      </c>
      <c r="L60" s="11">
        <v>9.0161333333333343E-2</v>
      </c>
      <c r="M60" s="11">
        <v>1830.2750666666668</v>
      </c>
      <c r="N60" s="12">
        <v>7500</v>
      </c>
      <c r="O60" s="12">
        <v>-12800</v>
      </c>
    </row>
    <row r="61" spans="1:15" x14ac:dyDescent="0.25">
      <c r="A61" s="9">
        <v>56400</v>
      </c>
      <c r="B61" t="s">
        <v>240</v>
      </c>
      <c r="C61" t="s">
        <v>54</v>
      </c>
      <c r="D61" s="10">
        <v>13700</v>
      </c>
      <c r="E61" s="10">
        <v>500</v>
      </c>
      <c r="F61" s="10">
        <v>1200</v>
      </c>
      <c r="G61" s="10">
        <v>3750</v>
      </c>
      <c r="H61" s="10">
        <v>0</v>
      </c>
      <c r="I61" s="10"/>
      <c r="J61" s="10">
        <v>5450</v>
      </c>
      <c r="K61" s="10">
        <v>19150</v>
      </c>
      <c r="L61" s="11">
        <v>9.0161333333333343E-2</v>
      </c>
      <c r="M61" s="11">
        <v>1726.5895333333335</v>
      </c>
      <c r="N61" s="12">
        <v>7500</v>
      </c>
      <c r="O61" s="12">
        <v>-11650</v>
      </c>
    </row>
    <row r="62" spans="1:15" x14ac:dyDescent="0.25">
      <c r="A62" s="9">
        <v>56500</v>
      </c>
      <c r="B62" t="s">
        <v>241</v>
      </c>
      <c r="C62" t="s">
        <v>55</v>
      </c>
      <c r="D62" s="10">
        <v>5700</v>
      </c>
      <c r="E62" s="10">
        <v>700</v>
      </c>
      <c r="F62" s="10">
        <v>1200</v>
      </c>
      <c r="G62" s="10">
        <v>1409</v>
      </c>
      <c r="H62" s="10">
        <v>0</v>
      </c>
      <c r="I62" s="10"/>
      <c r="J62" s="10">
        <v>3309</v>
      </c>
      <c r="K62" s="10">
        <v>9009</v>
      </c>
      <c r="L62" s="11">
        <v>0.120628</v>
      </c>
      <c r="M62" s="11">
        <v>1086.737652</v>
      </c>
      <c r="N62" s="12">
        <v>7500</v>
      </c>
      <c r="O62" s="12">
        <v>-1509</v>
      </c>
    </row>
    <row r="63" spans="1:15" x14ac:dyDescent="0.25">
      <c r="A63" s="9">
        <v>56600</v>
      </c>
      <c r="B63" t="s">
        <v>242</v>
      </c>
      <c r="C63" t="s">
        <v>56</v>
      </c>
      <c r="D63" s="10">
        <v>5800</v>
      </c>
      <c r="E63" s="10">
        <v>700</v>
      </c>
      <c r="F63" s="10">
        <v>1180</v>
      </c>
      <c r="G63" s="10">
        <v>429</v>
      </c>
      <c r="H63" s="10">
        <v>0</v>
      </c>
      <c r="I63" s="10"/>
      <c r="J63" s="10">
        <v>2309</v>
      </c>
      <c r="K63" s="10">
        <v>8109</v>
      </c>
      <c r="L63" s="11">
        <v>0.120628</v>
      </c>
      <c r="M63" s="11">
        <v>978.17245200000002</v>
      </c>
      <c r="N63" s="12">
        <v>7500</v>
      </c>
      <c r="O63" s="12">
        <v>-609</v>
      </c>
    </row>
    <row r="64" spans="1:15" x14ac:dyDescent="0.25">
      <c r="A64" s="9">
        <v>56900</v>
      </c>
      <c r="B64" t="s">
        <v>243</v>
      </c>
      <c r="C64" t="s">
        <v>57</v>
      </c>
      <c r="D64" s="10">
        <v>4150</v>
      </c>
      <c r="E64" s="10">
        <v>600</v>
      </c>
      <c r="F64" s="10">
        <v>775</v>
      </c>
      <c r="G64" s="10">
        <v>0</v>
      </c>
      <c r="H64" s="10">
        <v>0</v>
      </c>
      <c r="I64" s="10"/>
      <c r="J64" s="10">
        <v>1375</v>
      </c>
      <c r="K64" s="10">
        <v>5525</v>
      </c>
      <c r="L64" s="11">
        <v>0.120628</v>
      </c>
      <c r="M64" s="11">
        <v>666.46969999999999</v>
      </c>
      <c r="N64" s="12">
        <v>5000</v>
      </c>
      <c r="O64" s="12">
        <v>-525</v>
      </c>
    </row>
    <row r="65" spans="1:15" x14ac:dyDescent="0.25">
      <c r="A65" s="9">
        <v>58000</v>
      </c>
      <c r="B65" t="s">
        <v>244</v>
      </c>
      <c r="C65" t="s">
        <v>58</v>
      </c>
      <c r="D65" s="10">
        <v>0</v>
      </c>
      <c r="E65" s="10">
        <v>0</v>
      </c>
      <c r="F65" s="10" t="s">
        <v>337</v>
      </c>
      <c r="G65" s="10">
        <v>0</v>
      </c>
      <c r="H65" s="10">
        <v>0</v>
      </c>
      <c r="I65" s="10"/>
      <c r="J65" s="10">
        <v>0</v>
      </c>
      <c r="K65" s="10">
        <v>0</v>
      </c>
      <c r="L65" s="11">
        <v>0</v>
      </c>
      <c r="M65" s="11">
        <v>0</v>
      </c>
      <c r="N65" s="12">
        <v>0</v>
      </c>
      <c r="O65" s="12">
        <v>0</v>
      </c>
    </row>
    <row r="66" spans="1:15" x14ac:dyDescent="0.25">
      <c r="A66" s="9">
        <v>58011</v>
      </c>
      <c r="B66" t="s">
        <v>245</v>
      </c>
      <c r="C66" t="s">
        <v>59</v>
      </c>
      <c r="D66" s="10">
        <v>425</v>
      </c>
      <c r="E66" s="10">
        <v>50</v>
      </c>
      <c r="F66" s="10">
        <v>100</v>
      </c>
      <c r="G66" s="10">
        <v>0</v>
      </c>
      <c r="H66" s="10">
        <v>72</v>
      </c>
      <c r="I66" s="10"/>
      <c r="J66" s="10">
        <v>222</v>
      </c>
      <c r="K66" s="10">
        <v>647</v>
      </c>
      <c r="L66" s="11">
        <v>0.42749999999999999</v>
      </c>
      <c r="M66" s="11">
        <v>276.59249999999997</v>
      </c>
      <c r="N66" s="12">
        <v>1000</v>
      </c>
      <c r="O66" s="12">
        <v>353</v>
      </c>
    </row>
    <row r="67" spans="1:15" x14ac:dyDescent="0.25">
      <c r="A67" s="9">
        <v>58021</v>
      </c>
      <c r="B67" t="s">
        <v>246</v>
      </c>
      <c r="C67" t="s">
        <v>1</v>
      </c>
      <c r="D67" s="10">
        <v>400</v>
      </c>
      <c r="E67" s="10">
        <v>90</v>
      </c>
      <c r="F67" s="10">
        <v>200</v>
      </c>
      <c r="G67" s="10">
        <v>0</v>
      </c>
      <c r="H67" s="10">
        <v>53</v>
      </c>
      <c r="I67" s="10"/>
      <c r="J67" s="10">
        <v>343</v>
      </c>
      <c r="K67" s="10">
        <v>743</v>
      </c>
      <c r="L67" s="11">
        <v>0.53649999999999998</v>
      </c>
      <c r="M67" s="11">
        <v>398.61949999999996</v>
      </c>
      <c r="N67" s="12">
        <v>2000</v>
      </c>
      <c r="O67" s="12">
        <v>1257</v>
      </c>
    </row>
    <row r="68" spans="1:15" x14ac:dyDescent="0.25">
      <c r="A68" s="9">
        <v>58032</v>
      </c>
      <c r="B68" t="s">
        <v>247</v>
      </c>
      <c r="C68" t="s">
        <v>60</v>
      </c>
      <c r="D68" s="10">
        <v>400</v>
      </c>
      <c r="E68" s="10">
        <v>30</v>
      </c>
      <c r="F68" s="10">
        <v>100</v>
      </c>
      <c r="G68" s="10">
        <v>0</v>
      </c>
      <c r="H68" s="10">
        <v>92</v>
      </c>
      <c r="I68" s="10"/>
      <c r="J68" s="10">
        <v>222</v>
      </c>
      <c r="K68" s="10">
        <v>622</v>
      </c>
      <c r="L68" s="11">
        <v>0.53649999999999998</v>
      </c>
      <c r="M68" s="11">
        <v>333.70299999999997</v>
      </c>
      <c r="N68" s="12">
        <v>1000</v>
      </c>
      <c r="O68" s="12">
        <v>378</v>
      </c>
    </row>
    <row r="69" spans="1:15" x14ac:dyDescent="0.25">
      <c r="A69" s="9">
        <v>58041</v>
      </c>
      <c r="B69" t="s">
        <v>248</v>
      </c>
      <c r="C69" t="s">
        <v>61</v>
      </c>
      <c r="D69" s="10">
        <v>1000</v>
      </c>
      <c r="E69" s="10">
        <v>100</v>
      </c>
      <c r="F69" s="10">
        <v>0</v>
      </c>
      <c r="G69" s="10">
        <v>0</v>
      </c>
      <c r="H69" s="10">
        <v>121</v>
      </c>
      <c r="I69" s="10"/>
      <c r="J69" s="10">
        <v>221</v>
      </c>
      <c r="K69" s="10">
        <v>1221</v>
      </c>
      <c r="L69" s="11">
        <v>0.53500000000000003</v>
      </c>
      <c r="M69" s="11">
        <v>653.23500000000001</v>
      </c>
      <c r="N69" s="12">
        <v>3000</v>
      </c>
      <c r="O69" s="12">
        <v>1779</v>
      </c>
    </row>
    <row r="70" spans="1:15" x14ac:dyDescent="0.25">
      <c r="A70" s="9">
        <v>58052</v>
      </c>
      <c r="B70" t="s">
        <v>249</v>
      </c>
      <c r="C70" t="s">
        <v>62</v>
      </c>
      <c r="D70" s="10">
        <v>400</v>
      </c>
      <c r="E70" s="10">
        <v>50</v>
      </c>
      <c r="F70" s="10">
        <v>100</v>
      </c>
      <c r="G70" s="10">
        <v>0</v>
      </c>
      <c r="H70" s="10">
        <v>149</v>
      </c>
      <c r="I70" s="10"/>
      <c r="J70" s="10">
        <v>299</v>
      </c>
      <c r="K70" s="10">
        <v>699</v>
      </c>
      <c r="L70" s="11">
        <v>0.53649999999999998</v>
      </c>
      <c r="M70" s="11">
        <v>375.01349999999996</v>
      </c>
      <c r="N70" s="12">
        <v>1000</v>
      </c>
      <c r="O70" s="12">
        <v>301</v>
      </c>
    </row>
    <row r="71" spans="1:15" x14ac:dyDescent="0.25">
      <c r="A71" s="9">
        <v>58061</v>
      </c>
      <c r="B71" t="s">
        <v>250</v>
      </c>
      <c r="C71" t="s">
        <v>63</v>
      </c>
      <c r="D71" s="10">
        <v>1750</v>
      </c>
      <c r="E71" s="10">
        <v>100</v>
      </c>
      <c r="F71" s="10">
        <v>200</v>
      </c>
      <c r="G71" s="10">
        <v>0</v>
      </c>
      <c r="H71" s="10">
        <v>122</v>
      </c>
      <c r="I71" s="10"/>
      <c r="J71" s="10">
        <v>422</v>
      </c>
      <c r="K71" s="10">
        <v>2172</v>
      </c>
      <c r="L71" s="11">
        <v>0.53249999999999997</v>
      </c>
      <c r="M71" s="11">
        <v>1156.5899999999999</v>
      </c>
      <c r="N71" s="12">
        <v>5000</v>
      </c>
      <c r="O71" s="12">
        <v>2828</v>
      </c>
    </row>
    <row r="72" spans="1:15" x14ac:dyDescent="0.25">
      <c r="A72" s="9">
        <v>58072</v>
      </c>
      <c r="B72" t="s">
        <v>251</v>
      </c>
      <c r="C72" t="s">
        <v>64</v>
      </c>
      <c r="D72" s="10">
        <v>500</v>
      </c>
      <c r="E72" s="10">
        <v>20</v>
      </c>
      <c r="F72" s="10">
        <v>0</v>
      </c>
      <c r="G72" s="10">
        <v>0</v>
      </c>
      <c r="H72" s="10">
        <v>87</v>
      </c>
      <c r="I72" s="10"/>
      <c r="J72" s="10">
        <v>107</v>
      </c>
      <c r="K72" s="10">
        <v>607</v>
      </c>
      <c r="L72" s="11">
        <v>0.53649999999999998</v>
      </c>
      <c r="M72" s="11">
        <v>325.65549999999996</v>
      </c>
      <c r="N72" s="12">
        <v>1000</v>
      </c>
      <c r="O72" s="12">
        <v>393</v>
      </c>
    </row>
    <row r="73" spans="1:15" x14ac:dyDescent="0.25">
      <c r="A73" s="9">
        <v>58082</v>
      </c>
      <c r="B73" t="s">
        <v>252</v>
      </c>
      <c r="C73" t="s">
        <v>65</v>
      </c>
      <c r="D73" s="10">
        <v>500</v>
      </c>
      <c r="E73" s="10">
        <v>40</v>
      </c>
      <c r="F73" s="10">
        <v>0</v>
      </c>
      <c r="G73" s="10">
        <v>0</v>
      </c>
      <c r="H73" s="10">
        <v>93</v>
      </c>
      <c r="I73" s="10"/>
      <c r="J73" s="10">
        <v>133</v>
      </c>
      <c r="K73" s="10">
        <v>633</v>
      </c>
      <c r="L73" s="11">
        <v>0.53649999999999998</v>
      </c>
      <c r="M73" s="11">
        <v>339.60449999999997</v>
      </c>
      <c r="N73" s="12">
        <v>1000</v>
      </c>
      <c r="O73" s="12">
        <v>367</v>
      </c>
    </row>
    <row r="74" spans="1:15" x14ac:dyDescent="0.25">
      <c r="A74" s="9">
        <v>58092</v>
      </c>
      <c r="B74" t="s">
        <v>253</v>
      </c>
      <c r="C74" t="s">
        <v>66</v>
      </c>
      <c r="D74" s="10">
        <v>500</v>
      </c>
      <c r="E74" s="10">
        <v>30</v>
      </c>
      <c r="F74" s="10">
        <v>0</v>
      </c>
      <c r="G74" s="10">
        <v>0</v>
      </c>
      <c r="H74" s="10">
        <v>100</v>
      </c>
      <c r="I74" s="10"/>
      <c r="J74" s="10">
        <v>130</v>
      </c>
      <c r="K74" s="10">
        <v>630</v>
      </c>
      <c r="L74" s="11">
        <v>0.53649999999999998</v>
      </c>
      <c r="M74" s="11">
        <v>337.995</v>
      </c>
      <c r="N74" s="12">
        <v>1000</v>
      </c>
      <c r="O74" s="12">
        <v>370</v>
      </c>
    </row>
    <row r="75" spans="1:15" x14ac:dyDescent="0.25">
      <c r="A75" s="9">
        <v>58102</v>
      </c>
      <c r="B75" t="s">
        <v>254</v>
      </c>
      <c r="C75" t="s">
        <v>67</v>
      </c>
      <c r="D75" s="10">
        <v>500</v>
      </c>
      <c r="E75" s="10">
        <v>30</v>
      </c>
      <c r="F75" s="10">
        <v>0</v>
      </c>
      <c r="G75" s="10">
        <v>0</v>
      </c>
      <c r="H75" s="10">
        <v>131</v>
      </c>
      <c r="I75" s="10"/>
      <c r="J75" s="10">
        <v>161</v>
      </c>
      <c r="K75" s="10">
        <v>661</v>
      </c>
      <c r="L75" s="11">
        <v>0.53649999999999998</v>
      </c>
      <c r="M75" s="11">
        <v>354.62649999999996</v>
      </c>
      <c r="N75" s="12">
        <v>1000</v>
      </c>
      <c r="O75" s="12">
        <v>339</v>
      </c>
    </row>
    <row r="76" spans="1:15" x14ac:dyDescent="0.25">
      <c r="A76" s="9">
        <v>58112</v>
      </c>
      <c r="B76" t="s">
        <v>255</v>
      </c>
      <c r="C76" t="s">
        <v>68</v>
      </c>
      <c r="D76" s="10">
        <v>300</v>
      </c>
      <c r="E76" s="10">
        <v>20</v>
      </c>
      <c r="F76" s="10">
        <v>0</v>
      </c>
      <c r="G76" s="10">
        <v>0</v>
      </c>
      <c r="H76" s="10">
        <v>88</v>
      </c>
      <c r="I76" s="10"/>
      <c r="J76" s="10">
        <v>108</v>
      </c>
      <c r="K76" s="10">
        <v>408</v>
      </c>
      <c r="L76" s="11">
        <v>0.53649999999999998</v>
      </c>
      <c r="M76" s="11">
        <v>218.892</v>
      </c>
      <c r="N76" s="12">
        <v>1000</v>
      </c>
      <c r="O76" s="12">
        <v>592</v>
      </c>
    </row>
    <row r="77" spans="1:15" x14ac:dyDescent="0.25">
      <c r="A77" s="9">
        <v>58122</v>
      </c>
      <c r="B77" t="s">
        <v>256</v>
      </c>
      <c r="C77" t="s">
        <v>69</v>
      </c>
      <c r="D77" s="10">
        <v>200</v>
      </c>
      <c r="E77" s="10">
        <v>40</v>
      </c>
      <c r="F77" s="10">
        <v>200</v>
      </c>
      <c r="G77" s="10">
        <v>0</v>
      </c>
      <c r="H77" s="10">
        <v>129</v>
      </c>
      <c r="I77" s="10"/>
      <c r="J77" s="10">
        <v>369</v>
      </c>
      <c r="K77" s="10">
        <v>569</v>
      </c>
      <c r="L77" s="11">
        <v>0.53649999999999998</v>
      </c>
      <c r="M77" s="11">
        <v>305.26849999999996</v>
      </c>
      <c r="N77" s="12">
        <v>1000</v>
      </c>
      <c r="O77" s="12">
        <v>431</v>
      </c>
    </row>
    <row r="78" spans="1:15" x14ac:dyDescent="0.25">
      <c r="A78" s="9">
        <v>58131</v>
      </c>
      <c r="B78" t="s">
        <v>257</v>
      </c>
      <c r="C78" t="s">
        <v>70</v>
      </c>
      <c r="D78" s="10">
        <v>200</v>
      </c>
      <c r="E78" s="10">
        <v>50</v>
      </c>
      <c r="F78" s="10">
        <v>100</v>
      </c>
      <c r="G78" s="10">
        <v>0</v>
      </c>
      <c r="H78" s="10">
        <v>98</v>
      </c>
      <c r="I78" s="10"/>
      <c r="J78" s="10">
        <v>248</v>
      </c>
      <c r="K78" s="10">
        <v>448</v>
      </c>
      <c r="L78" s="11">
        <v>0.42749999999999999</v>
      </c>
      <c r="M78" s="11">
        <v>191.51999999999998</v>
      </c>
      <c r="N78" s="12">
        <v>1000</v>
      </c>
      <c r="O78" s="12">
        <v>552</v>
      </c>
    </row>
    <row r="79" spans="1:15" x14ac:dyDescent="0.25">
      <c r="A79" s="9">
        <v>58142</v>
      </c>
      <c r="B79" t="s">
        <v>258</v>
      </c>
      <c r="C79" t="s">
        <v>71</v>
      </c>
      <c r="D79" s="10">
        <v>400</v>
      </c>
      <c r="E79" s="10">
        <v>40</v>
      </c>
      <c r="F79" s="10">
        <v>100</v>
      </c>
      <c r="G79" s="10">
        <v>0</v>
      </c>
      <c r="H79" s="10">
        <v>105</v>
      </c>
      <c r="I79" s="10"/>
      <c r="J79" s="10">
        <v>245</v>
      </c>
      <c r="K79" s="10">
        <v>645</v>
      </c>
      <c r="L79" s="11">
        <v>0.53649999999999998</v>
      </c>
      <c r="M79" s="11">
        <v>346.04249999999996</v>
      </c>
      <c r="N79" s="12">
        <v>1000</v>
      </c>
      <c r="O79" s="12">
        <v>355</v>
      </c>
    </row>
    <row r="80" spans="1:15" x14ac:dyDescent="0.25">
      <c r="A80" s="9">
        <v>58152</v>
      </c>
      <c r="B80" t="s">
        <v>259</v>
      </c>
      <c r="C80" t="s">
        <v>72</v>
      </c>
      <c r="D80" s="10">
        <v>400</v>
      </c>
      <c r="E80" s="10">
        <v>20</v>
      </c>
      <c r="F80" s="10">
        <v>100</v>
      </c>
      <c r="G80" s="10">
        <v>0</v>
      </c>
      <c r="H80" s="10">
        <v>82</v>
      </c>
      <c r="I80" s="10"/>
      <c r="J80" s="10">
        <v>202</v>
      </c>
      <c r="K80" s="10">
        <v>602</v>
      </c>
      <c r="L80" s="11">
        <v>0.53649999999999998</v>
      </c>
      <c r="M80" s="11">
        <v>322.97300000000001</v>
      </c>
      <c r="N80" s="12">
        <v>1000</v>
      </c>
      <c r="O80" s="12">
        <v>398</v>
      </c>
    </row>
    <row r="81" spans="1:15" x14ac:dyDescent="0.25">
      <c r="A81" s="9">
        <v>58161</v>
      </c>
      <c r="B81" t="s">
        <v>260</v>
      </c>
      <c r="C81" t="s">
        <v>73</v>
      </c>
      <c r="D81" s="10">
        <v>475</v>
      </c>
      <c r="E81" s="10">
        <v>10</v>
      </c>
      <c r="F81" s="10">
        <v>100</v>
      </c>
      <c r="G81" s="10">
        <v>0</v>
      </c>
      <c r="H81" s="10">
        <v>40</v>
      </c>
      <c r="I81" s="10"/>
      <c r="J81" s="10">
        <v>150</v>
      </c>
      <c r="K81" s="10">
        <v>625</v>
      </c>
      <c r="L81" s="11">
        <v>0.42749999999999999</v>
      </c>
      <c r="M81" s="11">
        <v>267.1875</v>
      </c>
      <c r="N81" s="12">
        <v>1000</v>
      </c>
      <c r="O81" s="12">
        <v>375</v>
      </c>
    </row>
    <row r="82" spans="1:15" x14ac:dyDescent="0.25">
      <c r="A82" s="9">
        <v>58172</v>
      </c>
      <c r="B82" t="s">
        <v>261</v>
      </c>
      <c r="C82" t="s">
        <v>74</v>
      </c>
      <c r="D82" s="10">
        <v>0</v>
      </c>
      <c r="E82" s="10">
        <v>20</v>
      </c>
      <c r="F82" s="10">
        <v>100</v>
      </c>
      <c r="G82" s="10">
        <v>0</v>
      </c>
      <c r="H82" s="10">
        <v>193</v>
      </c>
      <c r="I82" s="10"/>
      <c r="J82" s="10">
        <v>313</v>
      </c>
      <c r="K82" s="10">
        <v>313</v>
      </c>
      <c r="L82" s="11">
        <v>0.53649999999999998</v>
      </c>
      <c r="M82" s="11">
        <v>167.92449999999999</v>
      </c>
      <c r="N82" s="12">
        <v>1000</v>
      </c>
      <c r="O82" s="12">
        <v>687</v>
      </c>
    </row>
    <row r="83" spans="1:15" x14ac:dyDescent="0.25">
      <c r="A83" s="9">
        <v>58181</v>
      </c>
      <c r="B83" t="s">
        <v>262</v>
      </c>
      <c r="C83" t="s">
        <v>75</v>
      </c>
      <c r="D83" s="10">
        <v>0</v>
      </c>
      <c r="E83" s="10">
        <v>50</v>
      </c>
      <c r="F83" s="10">
        <v>0</v>
      </c>
      <c r="G83" s="10">
        <v>0</v>
      </c>
      <c r="H83" s="10">
        <v>34</v>
      </c>
      <c r="I83" s="10"/>
      <c r="J83" s="10">
        <v>84</v>
      </c>
      <c r="K83" s="10">
        <v>84</v>
      </c>
      <c r="L83" s="11">
        <v>0.42749999999999999</v>
      </c>
      <c r="M83" s="11">
        <v>35.909999999999997</v>
      </c>
      <c r="N83" s="12">
        <v>1000</v>
      </c>
      <c r="O83" s="12">
        <v>916</v>
      </c>
    </row>
    <row r="84" spans="1:15" x14ac:dyDescent="0.25">
      <c r="A84" s="9">
        <v>58192</v>
      </c>
      <c r="B84" t="s">
        <v>263</v>
      </c>
      <c r="C84" t="s">
        <v>76</v>
      </c>
      <c r="D84" s="10">
        <v>400</v>
      </c>
      <c r="E84" s="10">
        <v>30</v>
      </c>
      <c r="F84" s="10">
        <v>0</v>
      </c>
      <c r="G84" s="10">
        <v>0</v>
      </c>
      <c r="H84" s="10">
        <v>93</v>
      </c>
      <c r="I84" s="10"/>
      <c r="J84" s="10">
        <v>123</v>
      </c>
      <c r="K84" s="10">
        <v>523</v>
      </c>
      <c r="L84" s="11">
        <v>0.53649999999999998</v>
      </c>
      <c r="M84" s="11">
        <v>280.58949999999999</v>
      </c>
      <c r="N84" s="12">
        <v>1000</v>
      </c>
      <c r="O84" s="12">
        <v>477</v>
      </c>
    </row>
    <row r="85" spans="1:15" x14ac:dyDescent="0.25">
      <c r="A85" s="9">
        <v>58201</v>
      </c>
      <c r="B85" t="s">
        <v>264</v>
      </c>
      <c r="C85" t="s">
        <v>77</v>
      </c>
      <c r="D85" s="10">
        <v>600</v>
      </c>
      <c r="E85" s="10">
        <v>40</v>
      </c>
      <c r="F85" s="10">
        <v>100</v>
      </c>
      <c r="G85" s="10">
        <v>0</v>
      </c>
      <c r="H85" s="10">
        <v>62</v>
      </c>
      <c r="I85" s="10"/>
      <c r="J85" s="10">
        <v>202</v>
      </c>
      <c r="K85" s="10">
        <v>802</v>
      </c>
      <c r="L85" s="11">
        <v>0.53500000000000003</v>
      </c>
      <c r="M85" s="11">
        <v>429.07000000000005</v>
      </c>
      <c r="N85" s="12">
        <v>2000</v>
      </c>
      <c r="O85" s="12">
        <v>1198</v>
      </c>
    </row>
    <row r="86" spans="1:15" x14ac:dyDescent="0.25">
      <c r="A86" s="9">
        <v>58211</v>
      </c>
      <c r="B86" t="s">
        <v>265</v>
      </c>
      <c r="C86" t="s">
        <v>78</v>
      </c>
      <c r="D86" s="10">
        <v>500</v>
      </c>
      <c r="E86" s="10">
        <v>30</v>
      </c>
      <c r="F86" s="10">
        <v>0</v>
      </c>
      <c r="G86" s="10">
        <v>0</v>
      </c>
      <c r="H86" s="10">
        <v>117</v>
      </c>
      <c r="I86" s="10"/>
      <c r="J86" s="10">
        <v>147</v>
      </c>
      <c r="K86" s="10">
        <v>647</v>
      </c>
      <c r="L86" s="11">
        <v>0.53500000000000003</v>
      </c>
      <c r="M86" s="11">
        <v>346.14500000000004</v>
      </c>
      <c r="N86" s="12">
        <v>2000</v>
      </c>
      <c r="O86" s="12">
        <v>1353</v>
      </c>
    </row>
    <row r="87" spans="1:15" x14ac:dyDescent="0.25">
      <c r="A87" s="9">
        <v>58221</v>
      </c>
      <c r="B87" t="s">
        <v>266</v>
      </c>
      <c r="C87" t="s">
        <v>79</v>
      </c>
      <c r="D87" s="10">
        <v>100</v>
      </c>
      <c r="E87" s="10">
        <v>130</v>
      </c>
      <c r="F87" s="10">
        <v>300</v>
      </c>
      <c r="G87" s="10">
        <v>0</v>
      </c>
      <c r="H87" s="10">
        <v>84</v>
      </c>
      <c r="I87" s="10"/>
      <c r="J87" s="10">
        <v>514</v>
      </c>
      <c r="K87" s="10">
        <v>614</v>
      </c>
      <c r="L87" s="11">
        <v>0.53649999999999998</v>
      </c>
      <c r="M87" s="11">
        <v>329.411</v>
      </c>
      <c r="N87" s="12">
        <v>2000</v>
      </c>
      <c r="O87" s="12">
        <v>1386</v>
      </c>
    </row>
    <row r="88" spans="1:15" x14ac:dyDescent="0.25">
      <c r="A88" s="9">
        <v>58232</v>
      </c>
      <c r="B88" t="s">
        <v>267</v>
      </c>
      <c r="C88" t="s">
        <v>80</v>
      </c>
      <c r="D88" s="10">
        <v>1400</v>
      </c>
      <c r="E88" s="10">
        <v>40</v>
      </c>
      <c r="F88" s="10">
        <v>300</v>
      </c>
      <c r="G88" s="10">
        <v>0</v>
      </c>
      <c r="H88" s="10">
        <v>58</v>
      </c>
      <c r="I88" s="10"/>
      <c r="J88" s="10">
        <v>398</v>
      </c>
      <c r="K88" s="10">
        <v>1798</v>
      </c>
      <c r="L88" s="11">
        <v>0.53249999999999997</v>
      </c>
      <c r="M88" s="11">
        <v>957.43499999999995</v>
      </c>
      <c r="N88" s="12">
        <v>3000</v>
      </c>
      <c r="O88" s="12">
        <v>1202</v>
      </c>
    </row>
    <row r="89" spans="1:15" x14ac:dyDescent="0.25">
      <c r="A89" s="9">
        <v>58242</v>
      </c>
      <c r="B89" t="s">
        <v>268</v>
      </c>
      <c r="C89" t="s">
        <v>81</v>
      </c>
      <c r="D89" s="10">
        <v>300</v>
      </c>
      <c r="E89" s="10">
        <v>20</v>
      </c>
      <c r="F89" s="10">
        <v>100</v>
      </c>
      <c r="G89" s="10">
        <v>0</v>
      </c>
      <c r="H89" s="10">
        <v>146</v>
      </c>
      <c r="I89" s="10"/>
      <c r="J89" s="10">
        <v>266</v>
      </c>
      <c r="K89" s="10">
        <v>566</v>
      </c>
      <c r="L89" s="11">
        <v>0.53649999999999998</v>
      </c>
      <c r="M89" s="11">
        <v>303.65899999999999</v>
      </c>
      <c r="N89" s="12">
        <v>1000</v>
      </c>
      <c r="O89" s="12">
        <v>434</v>
      </c>
    </row>
    <row r="90" spans="1:15" x14ac:dyDescent="0.25">
      <c r="A90" s="9">
        <v>58251</v>
      </c>
      <c r="B90" t="s">
        <v>269</v>
      </c>
      <c r="C90" t="s">
        <v>82</v>
      </c>
      <c r="D90" s="10">
        <v>1300</v>
      </c>
      <c r="E90" s="10">
        <v>30</v>
      </c>
      <c r="F90" s="10">
        <v>400</v>
      </c>
      <c r="G90" s="10">
        <v>0</v>
      </c>
      <c r="H90" s="10">
        <v>148</v>
      </c>
      <c r="I90" s="10"/>
      <c r="J90" s="10">
        <v>578</v>
      </c>
      <c r="K90" s="10">
        <v>1878</v>
      </c>
      <c r="L90" s="11">
        <v>0.53249999999999997</v>
      </c>
      <c r="M90" s="11">
        <v>1000.035</v>
      </c>
      <c r="N90" s="12">
        <v>4000</v>
      </c>
      <c r="O90" s="12">
        <v>2122</v>
      </c>
    </row>
    <row r="91" spans="1:15" x14ac:dyDescent="0.25">
      <c r="A91" s="9">
        <v>58990</v>
      </c>
      <c r="B91" t="s">
        <v>270</v>
      </c>
      <c r="C91" t="s">
        <v>83</v>
      </c>
      <c r="D91" s="10">
        <v>0</v>
      </c>
      <c r="E91" s="10">
        <v>0</v>
      </c>
      <c r="F91" s="10">
        <v>0</v>
      </c>
      <c r="G91" s="10">
        <v>0</v>
      </c>
      <c r="H91" s="10">
        <v>2</v>
      </c>
      <c r="I91" s="10"/>
      <c r="J91" s="10">
        <v>2</v>
      </c>
      <c r="K91" s="10">
        <v>2</v>
      </c>
      <c r="L91" s="11">
        <v>0</v>
      </c>
      <c r="M91" s="11">
        <v>0</v>
      </c>
      <c r="N91" s="12">
        <v>0</v>
      </c>
      <c r="O91" s="12">
        <v>-2</v>
      </c>
    </row>
    <row r="92" spans="1:15" x14ac:dyDescent="0.25">
      <c r="A92" s="9">
        <v>58991</v>
      </c>
      <c r="B92" t="s">
        <v>271</v>
      </c>
      <c r="C92" t="s">
        <v>84</v>
      </c>
      <c r="D92" s="10" t="s">
        <v>337</v>
      </c>
      <c r="E92" s="10">
        <v>0</v>
      </c>
      <c r="F92" s="10">
        <v>0</v>
      </c>
      <c r="G92" s="10">
        <v>0</v>
      </c>
      <c r="H92" s="10">
        <v>0</v>
      </c>
      <c r="I92" s="10"/>
      <c r="J92" s="10">
        <v>0</v>
      </c>
      <c r="K92" s="10">
        <v>0</v>
      </c>
      <c r="L92" s="11">
        <v>0</v>
      </c>
      <c r="M92" s="11">
        <v>0</v>
      </c>
      <c r="N92" s="12">
        <v>0</v>
      </c>
      <c r="O92" s="12">
        <v>0</v>
      </c>
    </row>
    <row r="93" spans="1:15" x14ac:dyDescent="0.25">
      <c r="A93" s="9">
        <v>58992</v>
      </c>
      <c r="B93" t="s">
        <v>272</v>
      </c>
      <c r="C93" t="s">
        <v>85</v>
      </c>
      <c r="D93" s="10" t="s">
        <v>337</v>
      </c>
      <c r="E93" s="10">
        <v>0</v>
      </c>
      <c r="F93" s="10">
        <v>0</v>
      </c>
      <c r="G93" s="10">
        <v>0</v>
      </c>
      <c r="H93" s="10">
        <v>1</v>
      </c>
      <c r="I93" s="10"/>
      <c r="J93" s="10">
        <v>1</v>
      </c>
      <c r="K93" s="10">
        <v>1</v>
      </c>
      <c r="L93" s="11">
        <v>0</v>
      </c>
      <c r="M93" s="11">
        <v>0</v>
      </c>
      <c r="N93" s="12">
        <v>0</v>
      </c>
      <c r="O93" s="12">
        <v>-1</v>
      </c>
    </row>
    <row r="94" spans="1:15" x14ac:dyDescent="0.25">
      <c r="A94" s="9">
        <v>60000</v>
      </c>
      <c r="B94" t="s">
        <v>273</v>
      </c>
      <c r="C94" t="s">
        <v>86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/>
      <c r="J94" s="10">
        <v>0</v>
      </c>
      <c r="K94" s="10">
        <v>0</v>
      </c>
      <c r="L94" s="11">
        <v>0</v>
      </c>
      <c r="M94" s="11">
        <v>0</v>
      </c>
      <c r="N94" s="12">
        <v>0</v>
      </c>
      <c r="O94" s="12">
        <v>0</v>
      </c>
    </row>
    <row r="95" spans="1:15" x14ac:dyDescent="0.25">
      <c r="A95" s="9">
        <v>60025</v>
      </c>
      <c r="B95" t="s">
        <v>274</v>
      </c>
      <c r="C95" t="s">
        <v>87</v>
      </c>
      <c r="D95" s="10">
        <v>4000</v>
      </c>
      <c r="E95" s="10">
        <v>35</v>
      </c>
      <c r="F95" s="10">
        <v>750</v>
      </c>
      <c r="G95" s="10">
        <v>45</v>
      </c>
      <c r="H95" s="10">
        <v>435</v>
      </c>
      <c r="I95" s="10"/>
      <c r="J95" s="10">
        <v>1265</v>
      </c>
      <c r="K95" s="10">
        <v>5265</v>
      </c>
      <c r="L95" s="11">
        <v>0</v>
      </c>
      <c r="M95" s="11">
        <v>0</v>
      </c>
      <c r="N95" s="12">
        <v>4000</v>
      </c>
      <c r="O95" s="12">
        <v>-1265</v>
      </c>
    </row>
    <row r="96" spans="1:15" x14ac:dyDescent="0.25">
      <c r="A96" s="9">
        <v>60050</v>
      </c>
      <c r="B96" t="s">
        <v>275</v>
      </c>
      <c r="C96" t="s">
        <v>88</v>
      </c>
      <c r="D96" s="10">
        <v>1600</v>
      </c>
      <c r="E96" s="10">
        <v>30</v>
      </c>
      <c r="F96" s="10">
        <v>450</v>
      </c>
      <c r="G96" s="10">
        <v>0</v>
      </c>
      <c r="H96" s="10">
        <v>209</v>
      </c>
      <c r="I96" s="10"/>
      <c r="J96" s="10">
        <v>689</v>
      </c>
      <c r="K96" s="10">
        <v>2289</v>
      </c>
      <c r="L96" s="11">
        <v>0</v>
      </c>
      <c r="M96" s="11">
        <v>0</v>
      </c>
      <c r="N96" s="12">
        <v>1000</v>
      </c>
      <c r="O96" s="12">
        <v>-1289</v>
      </c>
    </row>
    <row r="97" spans="1:15" x14ac:dyDescent="0.25">
      <c r="A97" s="9">
        <v>60100</v>
      </c>
      <c r="B97" t="s">
        <v>276</v>
      </c>
      <c r="C97" t="s">
        <v>89</v>
      </c>
      <c r="D97" s="10">
        <v>50</v>
      </c>
      <c r="E97" s="10">
        <v>22</v>
      </c>
      <c r="F97" s="10">
        <v>0</v>
      </c>
      <c r="G97" s="10">
        <v>19</v>
      </c>
      <c r="H97" s="10">
        <v>36</v>
      </c>
      <c r="I97" s="10"/>
      <c r="J97" s="10">
        <v>77</v>
      </c>
      <c r="K97" s="10">
        <v>127</v>
      </c>
      <c r="L97" s="11">
        <v>0</v>
      </c>
      <c r="M97" s="11">
        <v>0</v>
      </c>
      <c r="N97" s="12">
        <v>500</v>
      </c>
      <c r="O97" s="12">
        <v>373</v>
      </c>
    </row>
    <row r="98" spans="1:15" x14ac:dyDescent="0.25">
      <c r="A98" s="9">
        <v>60250</v>
      </c>
      <c r="B98" t="s">
        <v>277</v>
      </c>
      <c r="C98" t="s">
        <v>90</v>
      </c>
      <c r="D98" s="10">
        <v>350</v>
      </c>
      <c r="E98" s="10">
        <v>17</v>
      </c>
      <c r="F98" s="10">
        <v>13</v>
      </c>
      <c r="G98" s="10">
        <v>15</v>
      </c>
      <c r="H98" s="10">
        <v>43</v>
      </c>
      <c r="I98" s="10"/>
      <c r="J98" s="10">
        <v>88</v>
      </c>
      <c r="K98" s="10">
        <v>438</v>
      </c>
      <c r="L98" s="11">
        <v>0</v>
      </c>
      <c r="M98" s="11">
        <v>0</v>
      </c>
      <c r="N98" s="12">
        <v>500</v>
      </c>
      <c r="O98" s="12">
        <v>62</v>
      </c>
    </row>
    <row r="99" spans="1:15" x14ac:dyDescent="0.25">
      <c r="A99" s="9">
        <v>60500</v>
      </c>
      <c r="B99" t="s">
        <v>278</v>
      </c>
      <c r="C99" t="s">
        <v>91</v>
      </c>
      <c r="D99" s="10">
        <v>250</v>
      </c>
      <c r="E99" s="10">
        <v>1</v>
      </c>
      <c r="F99" s="10">
        <v>23</v>
      </c>
      <c r="G99" s="10">
        <v>22</v>
      </c>
      <c r="H99" s="10">
        <v>11</v>
      </c>
      <c r="I99" s="10"/>
      <c r="J99" s="10">
        <v>57</v>
      </c>
      <c r="K99" s="10">
        <v>307</v>
      </c>
      <c r="L99" s="11">
        <v>0</v>
      </c>
      <c r="M99" s="11">
        <v>0</v>
      </c>
      <c r="N99" s="12">
        <v>300</v>
      </c>
      <c r="O99" s="12">
        <v>-7</v>
      </c>
    </row>
    <row r="100" spans="1:15" x14ac:dyDescent="0.25">
      <c r="A100" s="9">
        <v>61000</v>
      </c>
      <c r="B100" t="s">
        <v>279</v>
      </c>
      <c r="C100" t="s">
        <v>92</v>
      </c>
      <c r="D100" s="10">
        <v>50</v>
      </c>
      <c r="E100" s="10">
        <v>6</v>
      </c>
      <c r="F100" s="10">
        <v>22</v>
      </c>
      <c r="G100" s="10">
        <v>9</v>
      </c>
      <c r="H100" s="10">
        <v>5</v>
      </c>
      <c r="I100" s="10"/>
      <c r="J100" s="10">
        <v>42</v>
      </c>
      <c r="K100" s="10">
        <v>92</v>
      </c>
      <c r="L100" s="11">
        <v>0</v>
      </c>
      <c r="M100" s="11">
        <v>0</v>
      </c>
      <c r="N100" s="12">
        <v>100</v>
      </c>
      <c r="O100" s="12">
        <v>8</v>
      </c>
    </row>
    <row r="101" spans="1:15" x14ac:dyDescent="0.25">
      <c r="A101" s="9">
        <v>61900</v>
      </c>
      <c r="B101" t="s">
        <v>280</v>
      </c>
      <c r="C101" t="s">
        <v>93</v>
      </c>
      <c r="D101" s="10">
        <v>0</v>
      </c>
      <c r="E101" s="10">
        <v>75</v>
      </c>
      <c r="F101" s="10">
        <v>400</v>
      </c>
      <c r="G101" s="10">
        <v>196</v>
      </c>
      <c r="H101" s="10">
        <v>0</v>
      </c>
      <c r="I101" s="10"/>
      <c r="J101" s="10">
        <v>671</v>
      </c>
      <c r="K101" s="10">
        <v>671</v>
      </c>
      <c r="L101" s="11">
        <v>0</v>
      </c>
      <c r="M101" s="11">
        <v>0</v>
      </c>
      <c r="N101" s="12">
        <v>0</v>
      </c>
      <c r="O101" s="12">
        <v>-671</v>
      </c>
    </row>
    <row r="102" spans="1:15" x14ac:dyDescent="0.25">
      <c r="A102" s="9">
        <v>62000</v>
      </c>
      <c r="B102" t="s">
        <v>281</v>
      </c>
      <c r="C102" t="s">
        <v>94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/>
      <c r="J102" s="10">
        <v>0</v>
      </c>
      <c r="K102" s="10">
        <v>0</v>
      </c>
      <c r="L102" s="11">
        <v>0</v>
      </c>
      <c r="M102" s="11">
        <v>0</v>
      </c>
      <c r="N102" s="12">
        <v>0</v>
      </c>
      <c r="O102" s="12">
        <v>0</v>
      </c>
    </row>
    <row r="103" spans="1:15" x14ac:dyDescent="0.25">
      <c r="A103" s="9">
        <v>62010</v>
      </c>
      <c r="B103" t="s">
        <v>282</v>
      </c>
      <c r="C103" t="s">
        <v>1</v>
      </c>
      <c r="D103" s="10">
        <v>508</v>
      </c>
      <c r="E103" s="10">
        <v>0</v>
      </c>
      <c r="F103" s="10">
        <v>0</v>
      </c>
      <c r="G103" s="10">
        <v>0</v>
      </c>
      <c r="H103" s="10">
        <v>0</v>
      </c>
      <c r="I103" s="10"/>
      <c r="J103" s="10">
        <v>0</v>
      </c>
      <c r="K103" s="10">
        <v>508</v>
      </c>
      <c r="L103" s="11">
        <v>0</v>
      </c>
      <c r="M103" s="11">
        <v>0</v>
      </c>
      <c r="N103" s="12">
        <v>0</v>
      </c>
      <c r="O103" s="12">
        <v>-508</v>
      </c>
    </row>
    <row r="104" spans="1:15" x14ac:dyDescent="0.25">
      <c r="A104" s="9">
        <v>62020</v>
      </c>
      <c r="B104" t="s">
        <v>283</v>
      </c>
      <c r="C104" t="s">
        <v>95</v>
      </c>
      <c r="D104" s="10">
        <v>289</v>
      </c>
      <c r="E104" s="10">
        <v>0</v>
      </c>
      <c r="F104" s="10">
        <v>0</v>
      </c>
      <c r="G104" s="10">
        <v>0</v>
      </c>
      <c r="H104" s="10">
        <v>0</v>
      </c>
      <c r="I104" s="10"/>
      <c r="J104" s="10">
        <v>0</v>
      </c>
      <c r="K104" s="10">
        <v>289</v>
      </c>
      <c r="L104" s="11">
        <v>0</v>
      </c>
      <c r="M104" s="11">
        <v>0</v>
      </c>
      <c r="N104" s="12">
        <v>0</v>
      </c>
      <c r="O104" s="12">
        <v>-289</v>
      </c>
    </row>
    <row r="105" spans="1:15" x14ac:dyDescent="0.25">
      <c r="A105" s="9">
        <v>62030</v>
      </c>
      <c r="B105" t="s">
        <v>284</v>
      </c>
      <c r="C105" t="s">
        <v>96</v>
      </c>
      <c r="D105" s="10">
        <v>368</v>
      </c>
      <c r="E105" s="10">
        <v>0</v>
      </c>
      <c r="F105" s="10">
        <v>0</v>
      </c>
      <c r="G105" s="10">
        <v>0</v>
      </c>
      <c r="H105" s="10">
        <v>0</v>
      </c>
      <c r="I105" s="10"/>
      <c r="J105" s="10">
        <v>0</v>
      </c>
      <c r="K105" s="10">
        <v>368</v>
      </c>
      <c r="L105" s="11">
        <v>0</v>
      </c>
      <c r="M105" s="11">
        <v>0</v>
      </c>
      <c r="N105" s="12">
        <v>0</v>
      </c>
      <c r="O105" s="12">
        <v>-368</v>
      </c>
    </row>
    <row r="106" spans="1:15" x14ac:dyDescent="0.25">
      <c r="A106" s="9">
        <v>62040</v>
      </c>
      <c r="B106" t="s">
        <v>285</v>
      </c>
      <c r="C106" t="s">
        <v>97</v>
      </c>
      <c r="D106" s="10">
        <v>61</v>
      </c>
      <c r="E106" s="10">
        <v>0</v>
      </c>
      <c r="F106" s="10">
        <v>0</v>
      </c>
      <c r="G106" s="10">
        <v>0</v>
      </c>
      <c r="H106" s="10">
        <v>0</v>
      </c>
      <c r="I106" s="10"/>
      <c r="J106" s="10">
        <v>0</v>
      </c>
      <c r="K106" s="10">
        <v>61</v>
      </c>
      <c r="L106" s="11">
        <v>0</v>
      </c>
      <c r="M106" s="11">
        <v>0</v>
      </c>
      <c r="N106" s="12">
        <v>0</v>
      </c>
      <c r="O106" s="12">
        <v>-61</v>
      </c>
    </row>
    <row r="107" spans="1:15" x14ac:dyDescent="0.25">
      <c r="A107" s="9">
        <v>62050</v>
      </c>
      <c r="B107" t="s">
        <v>286</v>
      </c>
      <c r="C107" t="s">
        <v>98</v>
      </c>
      <c r="D107" s="10">
        <v>115</v>
      </c>
      <c r="E107" s="10">
        <v>0</v>
      </c>
      <c r="F107" s="10">
        <v>0</v>
      </c>
      <c r="G107" s="10">
        <v>0</v>
      </c>
      <c r="H107" s="10">
        <v>0</v>
      </c>
      <c r="I107" s="10"/>
      <c r="J107" s="10">
        <v>0</v>
      </c>
      <c r="K107" s="10">
        <v>115</v>
      </c>
      <c r="L107" s="11">
        <v>0</v>
      </c>
      <c r="M107" s="11">
        <v>0</v>
      </c>
      <c r="N107" s="12">
        <v>0</v>
      </c>
      <c r="O107" s="12">
        <v>-115</v>
      </c>
    </row>
    <row r="108" spans="1:15" x14ac:dyDescent="0.25">
      <c r="A108" s="9">
        <v>62060</v>
      </c>
      <c r="B108" t="s">
        <v>287</v>
      </c>
      <c r="C108" t="s">
        <v>99</v>
      </c>
      <c r="D108" s="10">
        <v>343</v>
      </c>
      <c r="E108" s="10">
        <v>0</v>
      </c>
      <c r="F108" s="10">
        <v>0</v>
      </c>
      <c r="G108" s="10">
        <v>0</v>
      </c>
      <c r="H108" s="10">
        <v>0</v>
      </c>
      <c r="I108" s="10"/>
      <c r="J108" s="10">
        <v>0</v>
      </c>
      <c r="K108" s="10">
        <v>343</v>
      </c>
      <c r="L108" s="11">
        <v>0</v>
      </c>
      <c r="M108" s="11">
        <v>0</v>
      </c>
      <c r="N108" s="12">
        <v>0</v>
      </c>
      <c r="O108" s="12">
        <v>-343</v>
      </c>
    </row>
    <row r="109" spans="1:15" x14ac:dyDescent="0.25">
      <c r="A109" s="9">
        <v>62070</v>
      </c>
      <c r="B109" t="s">
        <v>288</v>
      </c>
      <c r="C109" t="s">
        <v>100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/>
      <c r="J109" s="10">
        <v>0</v>
      </c>
      <c r="K109" s="10">
        <v>0</v>
      </c>
      <c r="L109" s="11">
        <v>0</v>
      </c>
      <c r="M109" s="11">
        <v>0</v>
      </c>
      <c r="N109" s="12">
        <v>0</v>
      </c>
      <c r="O109" s="12">
        <v>0</v>
      </c>
    </row>
    <row r="110" spans="1:15" x14ac:dyDescent="0.25">
      <c r="A110" s="9">
        <v>62080</v>
      </c>
      <c r="B110" t="s">
        <v>289</v>
      </c>
      <c r="C110" t="s">
        <v>101</v>
      </c>
      <c r="D110" s="10">
        <v>2529</v>
      </c>
      <c r="E110" s="10">
        <v>0</v>
      </c>
      <c r="F110" s="10">
        <v>0</v>
      </c>
      <c r="G110" s="10">
        <v>1105</v>
      </c>
      <c r="H110" s="10">
        <v>0</v>
      </c>
      <c r="I110" s="10"/>
      <c r="J110" s="10">
        <v>1105</v>
      </c>
      <c r="K110" s="10">
        <v>3634</v>
      </c>
      <c r="L110" s="11">
        <v>0</v>
      </c>
      <c r="M110" s="11">
        <v>0</v>
      </c>
      <c r="N110" s="12">
        <v>0</v>
      </c>
      <c r="O110" s="12">
        <v>-3634</v>
      </c>
    </row>
    <row r="111" spans="1:15" x14ac:dyDescent="0.25">
      <c r="A111" s="9">
        <v>62090</v>
      </c>
      <c r="B111" t="s">
        <v>290</v>
      </c>
      <c r="C111" t="s">
        <v>102</v>
      </c>
      <c r="D111" s="10">
        <v>358</v>
      </c>
      <c r="E111" s="10">
        <v>0</v>
      </c>
      <c r="F111" s="10">
        <v>0</v>
      </c>
      <c r="G111" s="10">
        <v>0</v>
      </c>
      <c r="H111" s="10">
        <v>0</v>
      </c>
      <c r="I111" s="10"/>
      <c r="J111" s="10">
        <v>0</v>
      </c>
      <c r="K111" s="10">
        <v>358</v>
      </c>
      <c r="L111" s="11">
        <v>0</v>
      </c>
      <c r="M111" s="11">
        <v>0</v>
      </c>
      <c r="N111" s="12">
        <v>0</v>
      </c>
      <c r="O111" s="12">
        <v>-358</v>
      </c>
    </row>
    <row r="112" spans="1:15" x14ac:dyDescent="0.25">
      <c r="A112" s="9">
        <v>62100</v>
      </c>
      <c r="B112" t="s">
        <v>291</v>
      </c>
      <c r="C112" t="s">
        <v>48</v>
      </c>
      <c r="D112" s="10">
        <v>230</v>
      </c>
      <c r="E112" s="10">
        <v>0</v>
      </c>
      <c r="F112" s="10">
        <v>0</v>
      </c>
      <c r="G112" s="10">
        <v>0</v>
      </c>
      <c r="H112" s="10">
        <v>0</v>
      </c>
      <c r="I112" s="10"/>
      <c r="J112" s="10">
        <v>0</v>
      </c>
      <c r="K112" s="10">
        <v>230</v>
      </c>
      <c r="L112" s="11">
        <v>0</v>
      </c>
      <c r="M112" s="11">
        <v>0</v>
      </c>
      <c r="N112" s="12">
        <v>0</v>
      </c>
      <c r="O112" s="12">
        <v>-230</v>
      </c>
    </row>
    <row r="113" spans="1:15" x14ac:dyDescent="0.25">
      <c r="A113" s="9">
        <v>62910</v>
      </c>
      <c r="B113" t="s">
        <v>292</v>
      </c>
      <c r="C113" t="s">
        <v>103</v>
      </c>
      <c r="D113" s="10" t="s">
        <v>337</v>
      </c>
      <c r="E113" s="10">
        <v>0</v>
      </c>
      <c r="F113" s="10">
        <v>0</v>
      </c>
      <c r="G113" s="10">
        <v>0</v>
      </c>
      <c r="H113" s="10">
        <v>0</v>
      </c>
      <c r="I113" s="10"/>
      <c r="J113" s="10">
        <v>0</v>
      </c>
      <c r="K113" s="10">
        <v>0</v>
      </c>
      <c r="L113" s="11">
        <v>0</v>
      </c>
      <c r="M113" s="11">
        <v>0</v>
      </c>
      <c r="N113" s="12">
        <v>0</v>
      </c>
      <c r="O113" s="12">
        <v>0</v>
      </c>
    </row>
    <row r="114" spans="1:15" x14ac:dyDescent="0.25">
      <c r="A114" s="9">
        <v>68000</v>
      </c>
      <c r="B114" t="s">
        <v>293</v>
      </c>
      <c r="C114" t="s">
        <v>104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/>
      <c r="J114" s="10">
        <v>0</v>
      </c>
      <c r="K114" s="10">
        <v>0</v>
      </c>
      <c r="L114" s="11">
        <v>0</v>
      </c>
      <c r="M114" s="11">
        <v>0</v>
      </c>
      <c r="N114" s="12">
        <v>0</v>
      </c>
      <c r="O114" s="12">
        <v>0</v>
      </c>
    </row>
    <row r="115" spans="1:15" x14ac:dyDescent="0.25">
      <c r="A115" s="9">
        <v>68100</v>
      </c>
      <c r="B115" t="s">
        <v>294</v>
      </c>
      <c r="C115" t="s">
        <v>105</v>
      </c>
      <c r="D115" s="10">
        <v>0</v>
      </c>
      <c r="E115" s="10">
        <v>0</v>
      </c>
      <c r="F115" s="10">
        <v>200</v>
      </c>
      <c r="G115" s="10">
        <v>81</v>
      </c>
      <c r="H115" s="10">
        <v>0</v>
      </c>
      <c r="I115" s="10"/>
      <c r="J115" s="10">
        <v>281</v>
      </c>
      <c r="K115" s="10">
        <v>281</v>
      </c>
      <c r="L115" s="11">
        <v>0</v>
      </c>
      <c r="M115" s="11">
        <v>0</v>
      </c>
      <c r="N115" s="12">
        <v>0</v>
      </c>
      <c r="O115" s="12">
        <v>-281</v>
      </c>
    </row>
    <row r="116" spans="1:15" x14ac:dyDescent="0.25">
      <c r="A116" s="9">
        <v>68200</v>
      </c>
      <c r="B116" t="s">
        <v>295</v>
      </c>
      <c r="C116" t="s">
        <v>106</v>
      </c>
      <c r="D116" s="10">
        <v>1400</v>
      </c>
      <c r="E116" s="10">
        <v>0</v>
      </c>
      <c r="F116" s="10">
        <v>0</v>
      </c>
      <c r="G116" s="10">
        <v>120</v>
      </c>
      <c r="H116" s="10">
        <v>0</v>
      </c>
      <c r="I116" s="10"/>
      <c r="J116" s="10">
        <v>120</v>
      </c>
      <c r="K116" s="10">
        <v>1520</v>
      </c>
      <c r="L116" s="11">
        <v>0</v>
      </c>
      <c r="M116" s="11">
        <v>0</v>
      </c>
      <c r="N116" s="12">
        <v>0</v>
      </c>
      <c r="O116" s="12">
        <v>-1520</v>
      </c>
    </row>
    <row r="117" spans="1:15" x14ac:dyDescent="0.25">
      <c r="A117" s="9">
        <v>68210</v>
      </c>
      <c r="B117" t="s">
        <v>296</v>
      </c>
      <c r="C117" t="s">
        <v>107</v>
      </c>
      <c r="D117" s="10">
        <v>1300</v>
      </c>
      <c r="E117" s="10">
        <v>0</v>
      </c>
      <c r="F117" s="10">
        <v>0</v>
      </c>
      <c r="G117" s="10">
        <v>120</v>
      </c>
      <c r="H117" s="10">
        <v>0</v>
      </c>
      <c r="I117" s="10"/>
      <c r="J117" s="10">
        <v>120</v>
      </c>
      <c r="K117" s="10">
        <v>1420</v>
      </c>
      <c r="L117" s="11">
        <v>0</v>
      </c>
      <c r="M117" s="11">
        <v>0</v>
      </c>
      <c r="N117" s="12">
        <v>0</v>
      </c>
      <c r="O117" s="12">
        <v>-1420</v>
      </c>
    </row>
    <row r="118" spans="1:15" x14ac:dyDescent="0.25">
      <c r="A118" s="9">
        <v>80000</v>
      </c>
      <c r="B118" t="s">
        <v>297</v>
      </c>
      <c r="C118" t="s">
        <v>108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/>
      <c r="J118" s="10">
        <v>0</v>
      </c>
      <c r="K118" s="10">
        <v>0</v>
      </c>
      <c r="L118" s="11">
        <v>0</v>
      </c>
      <c r="M118" s="11">
        <v>0</v>
      </c>
      <c r="N118" s="12">
        <v>0</v>
      </c>
      <c r="O118" s="12">
        <v>0</v>
      </c>
    </row>
    <row r="119" spans="1:15" x14ac:dyDescent="0.25">
      <c r="A119" s="9">
        <v>80100</v>
      </c>
      <c r="B119" t="s">
        <v>298</v>
      </c>
      <c r="C119" t="s">
        <v>109</v>
      </c>
      <c r="D119" s="10">
        <v>27</v>
      </c>
      <c r="E119" s="10">
        <v>2</v>
      </c>
      <c r="F119" s="10">
        <v>0</v>
      </c>
      <c r="G119" s="10">
        <v>0</v>
      </c>
      <c r="H119" s="10">
        <v>0</v>
      </c>
      <c r="I119" s="10"/>
      <c r="J119" s="10">
        <v>2</v>
      </c>
      <c r="K119" s="10">
        <v>29</v>
      </c>
      <c r="L119" s="11">
        <v>0</v>
      </c>
      <c r="M119" s="11">
        <v>0</v>
      </c>
      <c r="N119" s="12">
        <v>0</v>
      </c>
      <c r="O119" s="12">
        <v>-29</v>
      </c>
    </row>
    <row r="120" spans="1:15" x14ac:dyDescent="0.25">
      <c r="A120" s="9">
        <v>80210</v>
      </c>
      <c r="B120" t="s">
        <v>299</v>
      </c>
      <c r="C120" t="s">
        <v>110</v>
      </c>
      <c r="D120" s="10">
        <v>2550</v>
      </c>
      <c r="E120" s="10">
        <v>30</v>
      </c>
      <c r="F120" s="10">
        <v>0</v>
      </c>
      <c r="G120" s="10">
        <v>0</v>
      </c>
      <c r="H120" s="10">
        <v>0</v>
      </c>
      <c r="I120" s="10"/>
      <c r="J120" s="10">
        <v>30</v>
      </c>
      <c r="K120" s="10">
        <v>2580</v>
      </c>
      <c r="L120" s="11">
        <v>0</v>
      </c>
      <c r="M120" s="11">
        <v>0</v>
      </c>
      <c r="N120" s="12">
        <v>0</v>
      </c>
      <c r="O120" s="12">
        <v>-2580</v>
      </c>
    </row>
    <row r="121" spans="1:15" x14ac:dyDescent="0.25">
      <c r="A121" s="9">
        <v>80220</v>
      </c>
      <c r="B121" t="s">
        <v>300</v>
      </c>
      <c r="C121" t="s">
        <v>111</v>
      </c>
      <c r="D121" s="10">
        <v>2525</v>
      </c>
      <c r="E121" s="10">
        <v>21</v>
      </c>
      <c r="F121" s="10">
        <v>0</v>
      </c>
      <c r="G121" s="10">
        <v>0</v>
      </c>
      <c r="H121" s="10">
        <v>0</v>
      </c>
      <c r="I121" s="10"/>
      <c r="J121" s="10">
        <v>21</v>
      </c>
      <c r="K121" s="10">
        <v>2546</v>
      </c>
      <c r="L121" s="11">
        <v>0</v>
      </c>
      <c r="M121" s="11">
        <v>0</v>
      </c>
      <c r="N121" s="12">
        <v>0</v>
      </c>
      <c r="O121" s="12">
        <v>-2546</v>
      </c>
    </row>
    <row r="122" spans="1:15" x14ac:dyDescent="0.25">
      <c r="A122" s="9">
        <v>80310</v>
      </c>
      <c r="B122" t="s">
        <v>301</v>
      </c>
      <c r="C122" t="s">
        <v>112</v>
      </c>
      <c r="D122" s="10">
        <v>4500</v>
      </c>
      <c r="E122" s="10">
        <v>0</v>
      </c>
      <c r="F122" s="10">
        <v>0</v>
      </c>
      <c r="G122" s="10">
        <v>0</v>
      </c>
      <c r="H122" s="10">
        <v>0</v>
      </c>
      <c r="I122" s="10"/>
      <c r="J122" s="10">
        <v>0</v>
      </c>
      <c r="K122" s="10">
        <v>4500</v>
      </c>
      <c r="L122" s="11">
        <v>0</v>
      </c>
      <c r="M122" s="11">
        <v>0</v>
      </c>
      <c r="N122" s="12">
        <v>0</v>
      </c>
      <c r="O122" s="12">
        <v>-4500</v>
      </c>
    </row>
    <row r="123" spans="1:15" x14ac:dyDescent="0.25">
      <c r="A123" s="9">
        <v>80320</v>
      </c>
      <c r="B123" t="s">
        <v>302</v>
      </c>
      <c r="C123" t="s">
        <v>113</v>
      </c>
      <c r="D123" s="10">
        <v>340</v>
      </c>
      <c r="E123" s="10">
        <v>0</v>
      </c>
      <c r="F123" s="10">
        <v>0</v>
      </c>
      <c r="G123" s="10">
        <v>0</v>
      </c>
      <c r="H123" s="10">
        <v>0</v>
      </c>
      <c r="I123" s="10"/>
      <c r="J123" s="10">
        <v>0</v>
      </c>
      <c r="K123" s="10">
        <v>340</v>
      </c>
      <c r="L123" s="11">
        <v>0</v>
      </c>
      <c r="M123" s="11">
        <v>0</v>
      </c>
      <c r="N123" s="12">
        <v>0</v>
      </c>
      <c r="O123" s="12">
        <v>-340</v>
      </c>
    </row>
    <row r="124" spans="1:15" x14ac:dyDescent="0.25">
      <c r="A124" s="9">
        <v>90000</v>
      </c>
      <c r="B124" t="s">
        <v>303</v>
      </c>
      <c r="C124" t="s">
        <v>114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/>
      <c r="J124" s="10">
        <v>0</v>
      </c>
      <c r="K124" s="10">
        <v>0</v>
      </c>
      <c r="L124" s="11">
        <v>0</v>
      </c>
      <c r="M124" s="11">
        <v>0</v>
      </c>
      <c r="N124" s="12">
        <v>0</v>
      </c>
      <c r="O124" s="12">
        <v>0</v>
      </c>
    </row>
    <row r="125" spans="1:15" x14ac:dyDescent="0.25">
      <c r="A125" s="9">
        <v>90100</v>
      </c>
      <c r="B125" t="s">
        <v>304</v>
      </c>
      <c r="C125" t="s">
        <v>115</v>
      </c>
      <c r="D125" s="10">
        <v>0</v>
      </c>
      <c r="E125" s="10">
        <v>0</v>
      </c>
      <c r="F125" s="10">
        <v>0</v>
      </c>
      <c r="G125" s="10">
        <v>1</v>
      </c>
      <c r="H125" s="10">
        <v>1</v>
      </c>
      <c r="I125" s="10"/>
      <c r="J125" s="10">
        <v>2</v>
      </c>
      <c r="K125" s="10">
        <v>2</v>
      </c>
      <c r="L125" s="11">
        <v>0</v>
      </c>
      <c r="M125" s="11">
        <v>0</v>
      </c>
      <c r="N125" s="12">
        <v>0</v>
      </c>
      <c r="O125" s="12">
        <v>-2</v>
      </c>
    </row>
    <row r="126" spans="1:15" x14ac:dyDescent="0.25">
      <c r="A126" s="9">
        <v>90100</v>
      </c>
      <c r="B126" t="s">
        <v>304</v>
      </c>
      <c r="C126" t="s">
        <v>115</v>
      </c>
      <c r="D126" s="10">
        <v>0</v>
      </c>
      <c r="E126" s="10">
        <v>0</v>
      </c>
      <c r="F126" s="10">
        <v>0</v>
      </c>
      <c r="G126" s="10">
        <v>1</v>
      </c>
      <c r="H126" s="10">
        <v>1</v>
      </c>
      <c r="I126" s="10"/>
      <c r="J126" s="10">
        <v>2</v>
      </c>
      <c r="K126" s="10">
        <v>2</v>
      </c>
      <c r="L126" s="11">
        <v>0</v>
      </c>
      <c r="M126" s="11">
        <v>0</v>
      </c>
      <c r="N126" s="12">
        <v>0</v>
      </c>
      <c r="O126" s="12">
        <v>-2</v>
      </c>
    </row>
    <row r="127" spans="1:15" x14ac:dyDescent="0.25">
      <c r="A127" s="9">
        <v>90200</v>
      </c>
      <c r="B127" t="s">
        <v>305</v>
      </c>
      <c r="C127" t="s">
        <v>116</v>
      </c>
      <c r="D127" s="10">
        <v>0</v>
      </c>
      <c r="E127" s="10">
        <v>0</v>
      </c>
      <c r="F127" s="10">
        <v>0</v>
      </c>
      <c r="G127" s="10">
        <v>1</v>
      </c>
      <c r="H127" s="10">
        <v>1</v>
      </c>
      <c r="I127" s="10"/>
      <c r="J127" s="10">
        <v>2</v>
      </c>
      <c r="K127" s="10">
        <v>2</v>
      </c>
      <c r="L127" s="11">
        <v>0</v>
      </c>
      <c r="M127" s="11">
        <v>0</v>
      </c>
      <c r="N127" s="12">
        <v>0</v>
      </c>
      <c r="O127" s="12">
        <v>-2</v>
      </c>
    </row>
    <row r="128" spans="1:15" x14ac:dyDescent="0.25">
      <c r="A128" s="9">
        <v>90210</v>
      </c>
      <c r="B128" t="s">
        <v>306</v>
      </c>
      <c r="C128" t="s">
        <v>117</v>
      </c>
      <c r="D128" s="10">
        <v>0</v>
      </c>
      <c r="E128" s="10">
        <v>0</v>
      </c>
      <c r="F128" s="10">
        <v>0</v>
      </c>
      <c r="G128" s="10">
        <v>1</v>
      </c>
      <c r="H128" s="10">
        <v>0</v>
      </c>
      <c r="I128" s="10"/>
      <c r="J128" s="10">
        <v>1</v>
      </c>
      <c r="K128" s="10">
        <v>1</v>
      </c>
      <c r="L128" s="11">
        <v>0</v>
      </c>
      <c r="M128" s="11">
        <v>0</v>
      </c>
      <c r="N128" s="12">
        <v>0</v>
      </c>
      <c r="O128" s="12">
        <v>-1</v>
      </c>
    </row>
    <row r="129" spans="1:15" x14ac:dyDescent="0.25">
      <c r="A129" s="9">
        <v>92000</v>
      </c>
      <c r="B129" t="s">
        <v>307</v>
      </c>
      <c r="C129" t="s">
        <v>118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/>
      <c r="J129" s="10">
        <v>0</v>
      </c>
      <c r="K129" s="10">
        <v>0</v>
      </c>
      <c r="L129" s="11">
        <v>0</v>
      </c>
      <c r="M129" s="11">
        <v>0</v>
      </c>
      <c r="N129" s="12">
        <v>0</v>
      </c>
      <c r="O129" s="12">
        <v>0</v>
      </c>
    </row>
    <row r="130" spans="1:15" x14ac:dyDescent="0.25">
      <c r="A130" s="9">
        <v>92011</v>
      </c>
      <c r="B130" t="s">
        <v>308</v>
      </c>
      <c r="C130" t="s">
        <v>119</v>
      </c>
      <c r="D130" s="10">
        <v>0</v>
      </c>
      <c r="E130" s="10">
        <v>0</v>
      </c>
      <c r="F130" s="10">
        <v>0</v>
      </c>
      <c r="G130" s="10">
        <v>1</v>
      </c>
      <c r="H130" s="10">
        <v>0</v>
      </c>
      <c r="I130" s="10"/>
      <c r="J130" s="10">
        <v>1</v>
      </c>
      <c r="K130" s="10">
        <v>1</v>
      </c>
      <c r="L130" s="11">
        <v>0</v>
      </c>
      <c r="M130" s="11">
        <v>0</v>
      </c>
      <c r="N130" s="12">
        <v>0</v>
      </c>
      <c r="O130" s="12">
        <v>-1</v>
      </c>
    </row>
    <row r="131" spans="1:15" x14ac:dyDescent="0.25">
      <c r="A131" s="9">
        <v>92021</v>
      </c>
      <c r="B131" t="s">
        <v>309</v>
      </c>
      <c r="C131" t="s">
        <v>120</v>
      </c>
      <c r="D131" s="10">
        <v>0</v>
      </c>
      <c r="E131" s="10">
        <v>0</v>
      </c>
      <c r="F131" s="10">
        <v>0</v>
      </c>
      <c r="G131" s="10">
        <v>1</v>
      </c>
      <c r="H131" s="10">
        <v>0</v>
      </c>
      <c r="I131" s="10"/>
      <c r="J131" s="10">
        <v>1</v>
      </c>
      <c r="K131" s="10">
        <v>1</v>
      </c>
      <c r="L131" s="11">
        <v>0</v>
      </c>
      <c r="M131" s="11">
        <v>0</v>
      </c>
      <c r="N131" s="12">
        <v>0</v>
      </c>
      <c r="O131" s="12">
        <v>-1</v>
      </c>
    </row>
    <row r="132" spans="1:15" x14ac:dyDescent="0.25">
      <c r="A132" s="9">
        <v>92031</v>
      </c>
      <c r="B132" t="s">
        <v>310</v>
      </c>
      <c r="C132" t="s">
        <v>121</v>
      </c>
      <c r="D132" s="10">
        <v>0</v>
      </c>
      <c r="E132" s="10">
        <v>0</v>
      </c>
      <c r="F132" s="10">
        <v>0</v>
      </c>
      <c r="G132" s="10">
        <v>1</v>
      </c>
      <c r="H132" s="10">
        <v>0</v>
      </c>
      <c r="I132" s="10"/>
      <c r="J132" s="10">
        <v>1</v>
      </c>
      <c r="K132" s="10">
        <v>1</v>
      </c>
      <c r="L132" s="11">
        <v>0</v>
      </c>
      <c r="M132" s="11">
        <v>0</v>
      </c>
      <c r="N132" s="12">
        <v>0</v>
      </c>
      <c r="O132" s="12">
        <v>-1</v>
      </c>
    </row>
    <row r="133" spans="1:15" x14ac:dyDescent="0.25">
      <c r="A133" s="9">
        <v>92041</v>
      </c>
      <c r="B133" t="s">
        <v>311</v>
      </c>
      <c r="C133" t="s">
        <v>122</v>
      </c>
      <c r="D133" s="10">
        <v>0</v>
      </c>
      <c r="E133" s="10">
        <v>0</v>
      </c>
      <c r="F133" s="10">
        <v>0</v>
      </c>
      <c r="G133" s="10">
        <v>1</v>
      </c>
      <c r="H133" s="10">
        <v>0</v>
      </c>
      <c r="I133" s="10"/>
      <c r="J133" s="10">
        <v>1</v>
      </c>
      <c r="K133" s="10">
        <v>1</v>
      </c>
      <c r="L133" s="11">
        <v>0</v>
      </c>
      <c r="M133" s="11">
        <v>0</v>
      </c>
      <c r="N133" s="12">
        <v>0</v>
      </c>
      <c r="O133" s="12">
        <v>-1</v>
      </c>
    </row>
    <row r="134" spans="1:15" x14ac:dyDescent="0.25">
      <c r="A134" s="9">
        <v>92051</v>
      </c>
      <c r="B134" t="s">
        <v>312</v>
      </c>
      <c r="C134" t="s">
        <v>123</v>
      </c>
      <c r="D134" s="10">
        <v>0</v>
      </c>
      <c r="E134" s="10">
        <v>0</v>
      </c>
      <c r="F134" s="10">
        <v>0</v>
      </c>
      <c r="G134" s="10">
        <v>25</v>
      </c>
      <c r="H134" s="10">
        <v>0</v>
      </c>
      <c r="I134" s="10"/>
      <c r="J134" s="10">
        <v>25</v>
      </c>
      <c r="K134" s="10">
        <v>25</v>
      </c>
      <c r="L134" s="11">
        <v>0</v>
      </c>
      <c r="M134" s="11">
        <v>0</v>
      </c>
      <c r="N134" s="12">
        <v>0</v>
      </c>
      <c r="O134" s="12">
        <v>-25</v>
      </c>
    </row>
    <row r="135" spans="1:15" x14ac:dyDescent="0.25">
      <c r="A135" s="9">
        <v>92061</v>
      </c>
      <c r="B135" t="s">
        <v>313</v>
      </c>
      <c r="C135" t="s">
        <v>124</v>
      </c>
      <c r="D135" s="10">
        <v>0</v>
      </c>
      <c r="E135" s="10">
        <v>0</v>
      </c>
      <c r="F135" s="10">
        <v>0</v>
      </c>
      <c r="G135" s="10">
        <v>25</v>
      </c>
      <c r="H135" s="10">
        <v>0</v>
      </c>
      <c r="I135" s="10"/>
      <c r="J135" s="10">
        <v>25</v>
      </c>
      <c r="K135" s="10">
        <v>25</v>
      </c>
      <c r="L135" s="11">
        <v>0</v>
      </c>
      <c r="M135" s="11">
        <v>0</v>
      </c>
      <c r="N135" s="12">
        <v>0</v>
      </c>
      <c r="O135" s="12">
        <v>-25</v>
      </c>
    </row>
    <row r="136" spans="1:15" x14ac:dyDescent="0.25">
      <c r="A136" s="9">
        <v>94000</v>
      </c>
      <c r="B136" t="s">
        <v>314</v>
      </c>
      <c r="C136" t="s">
        <v>125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/>
      <c r="J136" s="10">
        <v>0</v>
      </c>
      <c r="K136" s="10">
        <v>0</v>
      </c>
      <c r="L136" s="11">
        <v>0</v>
      </c>
      <c r="M136" s="11">
        <v>0</v>
      </c>
      <c r="N136" s="12">
        <v>0</v>
      </c>
      <c r="O136" s="12">
        <v>0</v>
      </c>
    </row>
    <row r="137" spans="1:15" x14ac:dyDescent="0.25">
      <c r="A137" s="9">
        <v>94011</v>
      </c>
      <c r="B137" t="s">
        <v>315</v>
      </c>
      <c r="C137" t="s">
        <v>126</v>
      </c>
      <c r="D137" s="10">
        <v>0</v>
      </c>
      <c r="E137" s="10">
        <v>0</v>
      </c>
      <c r="F137" s="10">
        <v>0</v>
      </c>
      <c r="G137" s="10">
        <v>1</v>
      </c>
      <c r="H137" s="10">
        <v>1</v>
      </c>
      <c r="I137" s="10"/>
      <c r="J137" s="10">
        <v>2</v>
      </c>
      <c r="K137" s="10">
        <v>2</v>
      </c>
      <c r="L137" s="11">
        <v>0</v>
      </c>
      <c r="M137" s="11">
        <v>0</v>
      </c>
      <c r="N137" s="12">
        <v>0</v>
      </c>
      <c r="O137" s="12">
        <v>-2</v>
      </c>
    </row>
    <row r="138" spans="1:15" x14ac:dyDescent="0.25">
      <c r="A138" s="9">
        <v>94021</v>
      </c>
      <c r="B138" t="s">
        <v>316</v>
      </c>
      <c r="C138" t="s">
        <v>127</v>
      </c>
      <c r="D138" s="10">
        <v>1</v>
      </c>
      <c r="E138" s="10">
        <v>0</v>
      </c>
      <c r="F138" s="10">
        <v>0</v>
      </c>
      <c r="G138" s="10">
        <v>1</v>
      </c>
      <c r="H138" s="10">
        <v>1</v>
      </c>
      <c r="I138" s="10"/>
      <c r="J138" s="10">
        <v>2</v>
      </c>
      <c r="K138" s="10">
        <v>3</v>
      </c>
      <c r="L138" s="11">
        <v>0</v>
      </c>
      <c r="M138" s="11">
        <v>0</v>
      </c>
      <c r="N138" s="12">
        <v>0</v>
      </c>
      <c r="O138" s="12">
        <v>-3</v>
      </c>
    </row>
    <row r="139" spans="1:15" x14ac:dyDescent="0.25">
      <c r="A139" s="9">
        <v>94031</v>
      </c>
      <c r="B139" t="s">
        <v>317</v>
      </c>
      <c r="C139" t="s">
        <v>128</v>
      </c>
      <c r="D139" s="10">
        <v>0</v>
      </c>
      <c r="E139" s="10">
        <v>0</v>
      </c>
      <c r="F139" s="10">
        <v>0</v>
      </c>
      <c r="G139" s="10">
        <v>1</v>
      </c>
      <c r="H139" s="10">
        <v>0</v>
      </c>
      <c r="I139" s="10"/>
      <c r="J139" s="10">
        <v>1</v>
      </c>
      <c r="K139" s="10">
        <v>1</v>
      </c>
      <c r="L139" s="11">
        <v>0</v>
      </c>
      <c r="M139" s="11">
        <v>0</v>
      </c>
      <c r="N139" s="12">
        <v>0</v>
      </c>
      <c r="O139" s="12">
        <v>-1</v>
      </c>
    </row>
    <row r="140" spans="1:15" x14ac:dyDescent="0.25">
      <c r="A140" s="9">
        <v>94041</v>
      </c>
      <c r="B140" t="s">
        <v>318</v>
      </c>
      <c r="C140" t="s">
        <v>129</v>
      </c>
      <c r="D140" s="10">
        <v>0</v>
      </c>
      <c r="E140" s="10">
        <v>0</v>
      </c>
      <c r="F140" s="10">
        <v>0</v>
      </c>
      <c r="G140" s="10">
        <v>1</v>
      </c>
      <c r="H140" s="10">
        <v>1</v>
      </c>
      <c r="I140" s="10"/>
      <c r="J140" s="10">
        <v>2</v>
      </c>
      <c r="K140" s="10">
        <v>2</v>
      </c>
      <c r="L140" s="11">
        <v>0</v>
      </c>
      <c r="M140" s="11">
        <v>0</v>
      </c>
      <c r="N140" s="12">
        <v>0</v>
      </c>
      <c r="O140" s="12">
        <v>-2</v>
      </c>
    </row>
    <row r="141" spans="1:15" x14ac:dyDescent="0.25">
      <c r="A141" s="9">
        <v>94051</v>
      </c>
      <c r="B141" t="s">
        <v>319</v>
      </c>
      <c r="C141" t="s">
        <v>130</v>
      </c>
      <c r="D141" s="10">
        <v>0</v>
      </c>
      <c r="E141" s="10">
        <v>0</v>
      </c>
      <c r="F141" s="10">
        <v>0</v>
      </c>
      <c r="G141" s="10">
        <v>2</v>
      </c>
      <c r="H141" s="10">
        <v>1</v>
      </c>
      <c r="I141" s="10"/>
      <c r="J141" s="10">
        <v>3</v>
      </c>
      <c r="K141" s="10">
        <v>3</v>
      </c>
      <c r="L141" s="11">
        <v>0</v>
      </c>
      <c r="M141" s="11">
        <v>0</v>
      </c>
      <c r="N141" s="12">
        <v>0</v>
      </c>
      <c r="O141" s="12">
        <v>-3</v>
      </c>
    </row>
    <row r="142" spans="1:15" x14ac:dyDescent="0.25">
      <c r="A142" s="9">
        <v>96000</v>
      </c>
      <c r="B142" t="s">
        <v>320</v>
      </c>
      <c r="C142" t="s">
        <v>131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/>
      <c r="J142" s="10">
        <v>0</v>
      </c>
      <c r="K142" s="10">
        <v>0</v>
      </c>
      <c r="L142" s="11">
        <v>0</v>
      </c>
      <c r="M142" s="11">
        <v>0</v>
      </c>
      <c r="N142" s="12">
        <v>0</v>
      </c>
      <c r="O142" s="12">
        <v>0</v>
      </c>
    </row>
    <row r="143" spans="1:15" x14ac:dyDescent="0.25">
      <c r="A143" s="9">
        <v>96100</v>
      </c>
      <c r="B143" t="s">
        <v>321</v>
      </c>
      <c r="C143" t="s">
        <v>132</v>
      </c>
      <c r="D143" s="10">
        <v>0</v>
      </c>
      <c r="E143" s="10">
        <v>0</v>
      </c>
      <c r="F143" s="10">
        <v>0</v>
      </c>
      <c r="G143" s="10">
        <v>3</v>
      </c>
      <c r="H143" s="10">
        <v>0</v>
      </c>
      <c r="I143" s="10"/>
      <c r="J143" s="10">
        <v>3</v>
      </c>
      <c r="K143" s="10">
        <v>3</v>
      </c>
      <c r="L143" s="11">
        <v>0</v>
      </c>
      <c r="M143" s="11">
        <v>0</v>
      </c>
      <c r="N143" s="12">
        <v>0</v>
      </c>
      <c r="O143" s="12">
        <v>-3</v>
      </c>
    </row>
    <row r="144" spans="1:15" x14ac:dyDescent="0.25">
      <c r="A144" s="9">
        <v>96200</v>
      </c>
      <c r="B144" t="s">
        <v>322</v>
      </c>
      <c r="C144" t="s">
        <v>133</v>
      </c>
      <c r="D144" s="10">
        <v>0</v>
      </c>
      <c r="E144" s="10">
        <v>0</v>
      </c>
      <c r="F144" s="10">
        <v>0</v>
      </c>
      <c r="G144" s="10">
        <v>50</v>
      </c>
      <c r="H144" s="10">
        <v>0</v>
      </c>
      <c r="I144" s="10"/>
      <c r="J144" s="10">
        <v>50</v>
      </c>
      <c r="K144" s="10">
        <v>50</v>
      </c>
      <c r="L144" s="11">
        <v>0</v>
      </c>
      <c r="M144" s="11">
        <v>0</v>
      </c>
      <c r="N144" s="12">
        <v>0</v>
      </c>
      <c r="O144" s="12">
        <v>-50</v>
      </c>
    </row>
    <row r="145" spans="1:15" x14ac:dyDescent="0.25">
      <c r="A145" s="9">
        <v>96300</v>
      </c>
      <c r="B145" t="s">
        <v>323</v>
      </c>
      <c r="C145" t="s">
        <v>134</v>
      </c>
      <c r="D145" s="10">
        <v>0</v>
      </c>
      <c r="E145" s="10">
        <v>0</v>
      </c>
      <c r="F145" s="10">
        <v>0</v>
      </c>
      <c r="G145" s="10">
        <v>40</v>
      </c>
      <c r="H145" s="10">
        <v>0</v>
      </c>
      <c r="I145" s="10"/>
      <c r="J145" s="10">
        <v>40</v>
      </c>
      <c r="K145" s="10">
        <v>40</v>
      </c>
      <c r="L145" s="11">
        <v>0</v>
      </c>
      <c r="M145" s="11">
        <v>0</v>
      </c>
      <c r="N145" s="12">
        <v>0</v>
      </c>
      <c r="O145" s="12">
        <v>-40</v>
      </c>
    </row>
    <row r="146" spans="1:15" x14ac:dyDescent="0.25">
      <c r="A146" s="9">
        <v>100000</v>
      </c>
      <c r="B146" t="s">
        <v>324</v>
      </c>
      <c r="C146" t="s">
        <v>135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/>
      <c r="J146" s="10">
        <v>0</v>
      </c>
      <c r="K146" s="10">
        <v>0</v>
      </c>
      <c r="L146" s="11">
        <v>0</v>
      </c>
      <c r="M146" s="11">
        <v>0</v>
      </c>
      <c r="N146" s="12">
        <v>0</v>
      </c>
      <c r="O146" s="12">
        <v>0</v>
      </c>
    </row>
    <row r="147" spans="1:15" x14ac:dyDescent="0.25">
      <c r="A147" s="9">
        <v>100010</v>
      </c>
      <c r="B147" t="s">
        <v>325</v>
      </c>
      <c r="C147" t="s">
        <v>136</v>
      </c>
      <c r="D147" s="10">
        <v>0</v>
      </c>
      <c r="E147" s="10">
        <v>0</v>
      </c>
      <c r="F147" s="10">
        <v>0</v>
      </c>
      <c r="G147" s="10">
        <v>0</v>
      </c>
      <c r="H147" s="10">
        <v>50</v>
      </c>
      <c r="I147" s="10"/>
      <c r="J147" s="10">
        <v>50</v>
      </c>
      <c r="K147" s="10">
        <v>50</v>
      </c>
      <c r="L147" s="11">
        <v>0</v>
      </c>
      <c r="M147" s="11">
        <v>0</v>
      </c>
      <c r="N147" s="12">
        <v>0</v>
      </c>
      <c r="O147" s="12">
        <v>-50</v>
      </c>
    </row>
    <row r="148" spans="1:15" x14ac:dyDescent="0.25">
      <c r="A148" s="9">
        <v>100020</v>
      </c>
      <c r="B148" t="s">
        <v>326</v>
      </c>
      <c r="C148" t="s">
        <v>137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/>
      <c r="J148" s="10">
        <v>0</v>
      </c>
      <c r="K148" s="10">
        <v>0</v>
      </c>
      <c r="L148" s="11">
        <v>0</v>
      </c>
      <c r="M148" s="11">
        <v>0</v>
      </c>
      <c r="N148" s="12">
        <v>0</v>
      </c>
      <c r="O148" s="12">
        <v>0</v>
      </c>
    </row>
    <row r="149" spans="1:15" x14ac:dyDescent="0.25">
      <c r="A149" s="9">
        <v>100901</v>
      </c>
      <c r="B149" t="s">
        <v>327</v>
      </c>
      <c r="C149" t="s">
        <v>138</v>
      </c>
      <c r="D149" s="10" t="s">
        <v>337</v>
      </c>
      <c r="E149" s="10">
        <v>0</v>
      </c>
      <c r="F149" s="10">
        <v>0</v>
      </c>
      <c r="G149" s="10">
        <v>1</v>
      </c>
      <c r="H149" s="10">
        <v>1</v>
      </c>
      <c r="I149" s="10"/>
      <c r="J149" s="10">
        <v>2</v>
      </c>
      <c r="K149" s="10">
        <v>2</v>
      </c>
      <c r="L149" s="11">
        <v>0</v>
      </c>
      <c r="M149" s="11">
        <v>0</v>
      </c>
      <c r="N149" s="12">
        <v>0</v>
      </c>
      <c r="O149" s="12">
        <v>-2</v>
      </c>
    </row>
    <row r="150" spans="1:15" x14ac:dyDescent="0.25">
      <c r="A150" s="9">
        <v>100902</v>
      </c>
      <c r="B150" t="s">
        <v>328</v>
      </c>
      <c r="C150" t="s">
        <v>139</v>
      </c>
      <c r="D150" s="10" t="s">
        <v>337</v>
      </c>
      <c r="E150" s="10">
        <v>0</v>
      </c>
      <c r="F150" s="10">
        <v>0</v>
      </c>
      <c r="G150" s="10">
        <v>0</v>
      </c>
      <c r="H150" s="10">
        <v>1</v>
      </c>
      <c r="I150" s="10"/>
      <c r="J150" s="10">
        <v>1</v>
      </c>
      <c r="K150" s="10">
        <v>1</v>
      </c>
      <c r="L150" s="11">
        <v>0</v>
      </c>
      <c r="M150" s="11">
        <v>0</v>
      </c>
      <c r="N150" s="12">
        <v>0</v>
      </c>
      <c r="O150" s="12">
        <v>-1</v>
      </c>
    </row>
    <row r="151" spans="1:15" x14ac:dyDescent="0.25">
      <c r="A151" s="9">
        <v>100905</v>
      </c>
      <c r="B151" t="s">
        <v>329</v>
      </c>
      <c r="C151" t="s">
        <v>140</v>
      </c>
      <c r="D151" s="10" t="s">
        <v>337</v>
      </c>
      <c r="E151" s="10">
        <v>0</v>
      </c>
      <c r="F151" s="10">
        <v>0</v>
      </c>
      <c r="G151" s="10">
        <v>0</v>
      </c>
      <c r="H151" s="10">
        <v>1</v>
      </c>
      <c r="I151" s="10"/>
      <c r="J151" s="10">
        <v>1</v>
      </c>
      <c r="K151" s="10">
        <v>1</v>
      </c>
      <c r="L151" s="11">
        <v>0</v>
      </c>
      <c r="M151" s="11">
        <v>0</v>
      </c>
      <c r="N151" s="12">
        <v>0</v>
      </c>
      <c r="O151" s="12">
        <v>-1</v>
      </c>
    </row>
    <row r="152" spans="1:15" x14ac:dyDescent="0.25">
      <c r="A152" s="9">
        <v>100906</v>
      </c>
      <c r="B152" t="s">
        <v>330</v>
      </c>
      <c r="C152" t="s">
        <v>141</v>
      </c>
      <c r="D152" s="10" t="s">
        <v>337</v>
      </c>
      <c r="E152" s="10">
        <v>0</v>
      </c>
      <c r="F152" s="10">
        <v>0</v>
      </c>
      <c r="G152" s="10">
        <v>0</v>
      </c>
      <c r="H152" s="10">
        <v>3</v>
      </c>
      <c r="I152" s="10"/>
      <c r="J152" s="10">
        <v>3</v>
      </c>
      <c r="K152" s="10">
        <v>3</v>
      </c>
      <c r="L152" s="11">
        <v>0</v>
      </c>
      <c r="M152" s="11">
        <v>0</v>
      </c>
      <c r="N152" s="12">
        <v>0</v>
      </c>
      <c r="O152" s="12">
        <v>-3</v>
      </c>
    </row>
    <row r="153" spans="1:15" x14ac:dyDescent="0.25">
      <c r="A153" s="9">
        <v>110000</v>
      </c>
      <c r="B153" t="s">
        <v>331</v>
      </c>
      <c r="C153" t="s">
        <v>142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/>
      <c r="J153" s="10">
        <v>0</v>
      </c>
      <c r="K153" s="10">
        <v>0</v>
      </c>
      <c r="L153" s="11">
        <v>0</v>
      </c>
      <c r="M153" s="11">
        <v>0</v>
      </c>
      <c r="N153" s="12">
        <v>0</v>
      </c>
      <c r="O153" s="12">
        <v>0</v>
      </c>
    </row>
    <row r="154" spans="1:15" x14ac:dyDescent="0.25">
      <c r="A154" s="9">
        <v>110100</v>
      </c>
      <c r="B154" t="s">
        <v>332</v>
      </c>
      <c r="C154" t="s">
        <v>143</v>
      </c>
      <c r="D154" s="10">
        <v>1350</v>
      </c>
      <c r="E154" s="10">
        <v>0</v>
      </c>
      <c r="F154" s="10">
        <v>0</v>
      </c>
      <c r="G154" s="10">
        <v>948</v>
      </c>
      <c r="H154" s="10">
        <v>0</v>
      </c>
      <c r="I154" s="10"/>
      <c r="J154" s="10">
        <v>948</v>
      </c>
      <c r="K154" s="10">
        <v>2298</v>
      </c>
      <c r="L154" s="11">
        <v>0</v>
      </c>
      <c r="M154" s="11">
        <v>0</v>
      </c>
      <c r="N154" s="12">
        <v>0</v>
      </c>
      <c r="O154" s="12">
        <v>-2298</v>
      </c>
    </row>
    <row r="155" spans="1:15" x14ac:dyDescent="0.25">
      <c r="A155" s="9">
        <v>110200</v>
      </c>
      <c r="B155" t="s">
        <v>333</v>
      </c>
      <c r="C155" t="s">
        <v>144</v>
      </c>
      <c r="D155" s="10">
        <v>0</v>
      </c>
      <c r="E155" s="10">
        <v>0</v>
      </c>
      <c r="F155" s="10">
        <v>0</v>
      </c>
      <c r="G155" s="10">
        <v>46</v>
      </c>
      <c r="H155" s="10">
        <v>0</v>
      </c>
      <c r="I155" s="10"/>
      <c r="J155" s="10">
        <v>46</v>
      </c>
      <c r="K155" s="10">
        <v>46</v>
      </c>
      <c r="L155" s="11">
        <v>0</v>
      </c>
      <c r="M155" s="11">
        <v>0</v>
      </c>
      <c r="N155" s="12">
        <v>0</v>
      </c>
      <c r="O155" s="12">
        <v>-46</v>
      </c>
    </row>
    <row r="156" spans="1:15" x14ac:dyDescent="0.25">
      <c r="A156" s="9">
        <v>110210</v>
      </c>
      <c r="B156" t="s">
        <v>334</v>
      </c>
      <c r="C156" t="s">
        <v>145</v>
      </c>
      <c r="D156" s="10">
        <v>0</v>
      </c>
      <c r="E156" s="10">
        <v>0</v>
      </c>
      <c r="F156" s="10">
        <v>0</v>
      </c>
      <c r="G156" s="10">
        <v>20</v>
      </c>
      <c r="H156" s="10">
        <v>0</v>
      </c>
      <c r="I156" s="10"/>
      <c r="J156" s="10">
        <v>20</v>
      </c>
      <c r="K156" s="10">
        <v>20</v>
      </c>
      <c r="L156" s="11">
        <v>0</v>
      </c>
      <c r="M156" s="11">
        <v>0</v>
      </c>
      <c r="N156" s="12">
        <v>0</v>
      </c>
      <c r="O156" s="12">
        <v>-20</v>
      </c>
    </row>
    <row r="157" spans="1:15" x14ac:dyDescent="0.25">
      <c r="A157" s="9">
        <v>110310</v>
      </c>
      <c r="B157" t="s">
        <v>335</v>
      </c>
      <c r="C157" t="s">
        <v>146</v>
      </c>
      <c r="D157" s="10">
        <v>0</v>
      </c>
      <c r="E157" s="10">
        <v>0</v>
      </c>
      <c r="F157" s="10">
        <v>0</v>
      </c>
      <c r="G157" s="10">
        <v>1</v>
      </c>
      <c r="H157" s="10">
        <v>0</v>
      </c>
      <c r="I157" s="10"/>
      <c r="J157" s="10">
        <v>1</v>
      </c>
      <c r="K157" s="10">
        <v>1</v>
      </c>
      <c r="L157" s="11">
        <v>0</v>
      </c>
      <c r="M157" s="11">
        <v>0</v>
      </c>
      <c r="N157" s="12">
        <v>0</v>
      </c>
      <c r="O157" s="12">
        <v>-1</v>
      </c>
    </row>
    <row r="158" spans="1:15" x14ac:dyDescent="0.25">
      <c r="A158" s="9">
        <v>110400</v>
      </c>
      <c r="B158" t="s">
        <v>336</v>
      </c>
      <c r="C158" t="s">
        <v>147</v>
      </c>
      <c r="D158" s="10">
        <v>0</v>
      </c>
      <c r="E158" s="10">
        <v>0</v>
      </c>
      <c r="F158" s="10">
        <v>0</v>
      </c>
      <c r="G158" s="10">
        <v>2</v>
      </c>
      <c r="H158" s="10">
        <v>0</v>
      </c>
      <c r="I158" s="10"/>
      <c r="J158" s="10">
        <v>2</v>
      </c>
      <c r="K158" s="10">
        <v>2</v>
      </c>
      <c r="L158" s="11">
        <v>0</v>
      </c>
      <c r="M158" s="11">
        <v>0</v>
      </c>
      <c r="N158" s="12">
        <v>0</v>
      </c>
      <c r="O158" s="12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E792-338F-4495-9C33-D4BBFEFE2817}">
  <dimension ref="A1:H16"/>
  <sheetViews>
    <sheetView workbookViewId="0"/>
  </sheetViews>
  <sheetFormatPr defaultRowHeight="13.5" x14ac:dyDescent="0.25"/>
  <cols>
    <col min="1" max="1" width="22.140625" bestFit="1" customWidth="1"/>
    <col min="2" max="3" width="10" bestFit="1" customWidth="1"/>
    <col min="4" max="4" width="9.28515625" bestFit="1" customWidth="1"/>
  </cols>
  <sheetData>
    <row r="1" spans="1:8" x14ac:dyDescent="0.25">
      <c r="A1" t="s">
        <v>338</v>
      </c>
      <c r="B1" t="s">
        <v>339</v>
      </c>
      <c r="C1" t="s">
        <v>358</v>
      </c>
      <c r="D1" t="s">
        <v>340</v>
      </c>
      <c r="E1" t="s">
        <v>341</v>
      </c>
      <c r="F1" t="s">
        <v>357</v>
      </c>
      <c r="G1" s="16" t="s">
        <v>342</v>
      </c>
      <c r="H1" s="16" t="s">
        <v>359</v>
      </c>
    </row>
    <row r="2" spans="1:8" x14ac:dyDescent="0.25">
      <c r="A2" s="13" t="s">
        <v>148</v>
      </c>
      <c r="B2" s="15" t="s">
        <v>360</v>
      </c>
      <c r="C2" s="15" t="s">
        <v>360</v>
      </c>
      <c r="D2" s="15" t="s">
        <v>360</v>
      </c>
      <c r="E2" s="15" t="s">
        <v>360</v>
      </c>
      <c r="F2" s="15" t="s">
        <v>360</v>
      </c>
      <c r="G2" s="17" t="s">
        <v>360</v>
      </c>
      <c r="H2" s="17" t="s">
        <v>360</v>
      </c>
    </row>
    <row r="3" spans="1:8" x14ac:dyDescent="0.25">
      <c r="A3" s="14" t="s">
        <v>343</v>
      </c>
      <c r="B3" s="15">
        <f>SUM(Table2[[#This Row],[Central]:[Shopify]])</f>
        <v>6386</v>
      </c>
      <c r="C3" s="15">
        <v>5500</v>
      </c>
      <c r="D3" s="15">
        <v>800</v>
      </c>
      <c r="E3" s="15">
        <v>50</v>
      </c>
      <c r="F3" s="15">
        <v>36</v>
      </c>
      <c r="G3" s="17">
        <v>350</v>
      </c>
      <c r="H3" s="17"/>
    </row>
    <row r="4" spans="1:8" x14ac:dyDescent="0.25">
      <c r="A4" s="14" t="s">
        <v>344</v>
      </c>
      <c r="B4" s="15">
        <f>SUM(Table2[[#This Row],[Central]:[Shopify]])</f>
        <v>8349</v>
      </c>
      <c r="C4" s="15">
        <v>7000</v>
      </c>
      <c r="D4" s="15">
        <v>1250</v>
      </c>
      <c r="E4" s="15">
        <v>27</v>
      </c>
      <c r="F4" s="15">
        <v>72</v>
      </c>
      <c r="G4" s="17">
        <v>500</v>
      </c>
      <c r="H4" s="17"/>
    </row>
    <row r="5" spans="1:8" x14ac:dyDescent="0.25">
      <c r="A5" s="14" t="s">
        <v>345</v>
      </c>
      <c r="B5" s="15">
        <f>SUM(Table2[[#This Row],[Central]:[Shopify]])</f>
        <v>4235</v>
      </c>
      <c r="C5" s="15">
        <v>3500</v>
      </c>
      <c r="D5" s="15">
        <v>720</v>
      </c>
      <c r="E5" s="15">
        <v>0</v>
      </c>
      <c r="F5" s="15">
        <v>15</v>
      </c>
      <c r="G5" s="17">
        <v>1000</v>
      </c>
      <c r="H5" s="17"/>
    </row>
    <row r="6" spans="1:8" x14ac:dyDescent="0.25">
      <c r="A6" s="14" t="s">
        <v>355</v>
      </c>
      <c r="B6" s="15">
        <f>SUM(Table2[[#This Row],[Central]:[Shopify]])</f>
        <v>4161</v>
      </c>
      <c r="C6" s="15">
        <v>4100</v>
      </c>
      <c r="D6" s="15">
        <v>34</v>
      </c>
      <c r="E6" s="15">
        <v>5</v>
      </c>
      <c r="F6" s="15">
        <v>22</v>
      </c>
      <c r="G6" s="17">
        <v>500</v>
      </c>
      <c r="H6" s="17"/>
    </row>
    <row r="7" spans="1:8" x14ac:dyDescent="0.25">
      <c r="A7" s="13" t="s">
        <v>348</v>
      </c>
      <c r="B7" s="15" t="s">
        <v>360</v>
      </c>
      <c r="C7" s="15" t="s">
        <v>360</v>
      </c>
      <c r="D7" s="15" t="s">
        <v>360</v>
      </c>
      <c r="E7" s="15" t="s">
        <v>360</v>
      </c>
      <c r="F7" s="15" t="s">
        <v>360</v>
      </c>
      <c r="G7" s="17" t="s">
        <v>360</v>
      </c>
      <c r="H7" s="17" t="s">
        <v>360</v>
      </c>
    </row>
    <row r="8" spans="1:8" x14ac:dyDescent="0.25">
      <c r="A8" s="14" t="s">
        <v>346</v>
      </c>
      <c r="B8" s="15">
        <f>SUM(Table2[[#This Row],[Central]:[Shopify]])</f>
        <v>17800</v>
      </c>
      <c r="C8" s="15">
        <v>12000</v>
      </c>
      <c r="D8" s="15">
        <v>2300</v>
      </c>
      <c r="E8" s="15">
        <v>3000</v>
      </c>
      <c r="F8" s="15">
        <v>500</v>
      </c>
      <c r="G8" s="17">
        <v>5500</v>
      </c>
      <c r="H8" s="17">
        <v>15000</v>
      </c>
    </row>
    <row r="9" spans="1:8" x14ac:dyDescent="0.25">
      <c r="A9" s="14" t="s">
        <v>347</v>
      </c>
      <c r="B9" s="15">
        <f>SUM(Table2[[#This Row],[Central]:[Shopify]])</f>
        <v>15750</v>
      </c>
      <c r="C9" s="15">
        <v>11500</v>
      </c>
      <c r="D9" s="15">
        <v>150</v>
      </c>
      <c r="E9" s="15">
        <v>3500</v>
      </c>
      <c r="F9" s="15">
        <v>600</v>
      </c>
      <c r="G9" s="17">
        <v>5260</v>
      </c>
      <c r="H9" s="17">
        <v>15000</v>
      </c>
    </row>
    <row r="10" spans="1:8" x14ac:dyDescent="0.25">
      <c r="A10" s="13" t="s">
        <v>356</v>
      </c>
      <c r="B10" s="15" t="s">
        <v>360</v>
      </c>
      <c r="C10" s="15" t="s">
        <v>360</v>
      </c>
      <c r="D10" s="15" t="s">
        <v>360</v>
      </c>
      <c r="E10" s="15" t="s">
        <v>360</v>
      </c>
      <c r="F10" s="15" t="s">
        <v>360</v>
      </c>
      <c r="G10" s="17" t="s">
        <v>360</v>
      </c>
      <c r="H10" s="17" t="s">
        <v>360</v>
      </c>
    </row>
    <row r="11" spans="1:8" x14ac:dyDescent="0.25">
      <c r="A11" s="14" t="s">
        <v>352</v>
      </c>
      <c r="B11" s="15">
        <f>SUM(Table2[[#This Row],[Central]:[Shopify]])</f>
        <v>1740</v>
      </c>
      <c r="C11" s="15">
        <v>1200</v>
      </c>
      <c r="D11" s="15">
        <v>240</v>
      </c>
      <c r="E11" s="15"/>
      <c r="F11" s="15">
        <v>300</v>
      </c>
      <c r="G11" s="17">
        <v>2000</v>
      </c>
      <c r="H11" s="17">
        <v>5000</v>
      </c>
    </row>
    <row r="12" spans="1:8" x14ac:dyDescent="0.25">
      <c r="A12" s="14" t="s">
        <v>349</v>
      </c>
      <c r="B12" s="15">
        <f>SUM(Table2[[#This Row],[Central]:[Shopify]])</f>
        <v>7700</v>
      </c>
      <c r="C12" s="15">
        <v>4000</v>
      </c>
      <c r="D12" s="15">
        <v>800</v>
      </c>
      <c r="E12" s="15">
        <v>2200</v>
      </c>
      <c r="F12" s="15">
        <v>700</v>
      </c>
      <c r="G12" s="17">
        <v>3000</v>
      </c>
      <c r="H12" s="17"/>
    </row>
    <row r="13" spans="1:8" x14ac:dyDescent="0.25">
      <c r="A13" s="14" t="s">
        <v>353</v>
      </c>
      <c r="B13" s="15">
        <f>SUM(Table2[[#This Row],[Central]:[Shopify]])</f>
        <v>3100</v>
      </c>
      <c r="C13" s="15">
        <v>2000</v>
      </c>
      <c r="D13" s="15">
        <v>400</v>
      </c>
      <c r="E13" s="15"/>
      <c r="F13" s="15">
        <v>700</v>
      </c>
      <c r="G13" s="17">
        <v>1000</v>
      </c>
      <c r="H13" s="17"/>
    </row>
    <row r="14" spans="1:8" x14ac:dyDescent="0.25">
      <c r="A14" s="14" t="s">
        <v>350</v>
      </c>
      <c r="B14" s="15">
        <f>SUM(Table2[[#This Row],[Central]:[Shopify]])</f>
        <v>8600</v>
      </c>
      <c r="C14" s="15">
        <v>5500</v>
      </c>
      <c r="D14" s="15">
        <v>900</v>
      </c>
      <c r="E14" s="15">
        <v>1700</v>
      </c>
      <c r="F14" s="15">
        <v>500</v>
      </c>
      <c r="G14" s="17">
        <v>3000</v>
      </c>
      <c r="H14" s="17"/>
    </row>
    <row r="15" spans="1:8" x14ac:dyDescent="0.25">
      <c r="A15" s="14" t="s">
        <v>354</v>
      </c>
      <c r="B15" s="15">
        <f>SUM(Table2[[#This Row],[Central]:[Shopify]])</f>
        <v>2200</v>
      </c>
      <c r="C15" s="15">
        <v>1750</v>
      </c>
      <c r="D15" s="15">
        <v>350</v>
      </c>
      <c r="E15" s="15"/>
      <c r="F15" s="15">
        <v>100</v>
      </c>
      <c r="G15" s="17">
        <v>1000</v>
      </c>
      <c r="H15" s="17">
        <v>5000</v>
      </c>
    </row>
    <row r="16" spans="1:8" x14ac:dyDescent="0.25">
      <c r="A16" s="14" t="s">
        <v>351</v>
      </c>
      <c r="B16" s="15">
        <f>SUM(Table2[[#This Row],[Central]:[Shopify]])</f>
        <v>3590</v>
      </c>
      <c r="C16" s="15">
        <v>1500</v>
      </c>
      <c r="D16" s="15">
        <v>1330</v>
      </c>
      <c r="E16" s="15">
        <v>560</v>
      </c>
      <c r="F16" s="15">
        <v>200</v>
      </c>
      <c r="G16" s="17">
        <v>2000</v>
      </c>
      <c r="H16" s="17"/>
    </row>
  </sheetData>
  <sortState xmlns:xlrd2="http://schemas.microsoft.com/office/spreadsheetml/2017/richdata2" ref="A11:A16">
    <sortCondition ref="A11:A1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Sorensen</dc:creator>
  <cp:lastModifiedBy>Jeff Sorensen</cp:lastModifiedBy>
  <dcterms:created xsi:type="dcterms:W3CDTF">2026-09-26T05:25:33Z</dcterms:created>
  <dcterms:modified xsi:type="dcterms:W3CDTF">2026-09-28T03:12:01Z</dcterms:modified>
</cp:coreProperties>
</file>